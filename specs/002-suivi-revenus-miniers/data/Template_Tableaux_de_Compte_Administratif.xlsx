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transparencyinternational-my.sharepoint.com/personal/vramaherison_transparency_mg/Documents/TI-IM_CP_MINES/2. Projets Miniers_TIMG/2.11. NORAD/5. Activités Année 3/2. Activités/4. Plateforme/0. TdR/"/>
    </mc:Choice>
  </mc:AlternateContent>
  <xr:revisionPtr revIDLastSave="2854" documentId="11_AD4D9D64A577C15A4A541885F01B60725BDEDD8A" xr6:coauthVersionLast="47" xr6:coauthVersionMax="47" xr10:uidLastSave="{5FD6D691-42A5-43EA-901A-3DA4F7E65513}"/>
  <bookViews>
    <workbookView xWindow="-108" yWindow="-108" windowWidth="23256" windowHeight="12576" activeTab="3" xr2:uid="{00000000-000D-0000-FFFF-FFFF00000000}"/>
  </bookViews>
  <sheets>
    <sheet name="RECETTES" sheetId="1" r:id="rId1"/>
    <sheet name="RECAPITULATIF RECETTES" sheetId="4" r:id="rId2"/>
    <sheet name="DEPENSES PROGRAMME I" sheetId="2" r:id="rId3"/>
    <sheet name="DEPENSES PROGRAMME II" sheetId="5" r:id="rId4"/>
    <sheet name="DEPENSES PROGRAMME III" sheetId="6" r:id="rId5"/>
    <sheet name="RECAP DEPENSES PAR PROGRAMME" sheetId="7" r:id="rId6"/>
    <sheet name="RECAPITULATIF DEPENSES" sheetId="8" r:id="rId7"/>
    <sheet name="EQUILIBRE" sheetId="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L10" i="1"/>
  <c r="K9" i="1"/>
  <c r="K8" i="1" s="1"/>
  <c r="H8" i="4" s="1"/>
  <c r="J8" i="3" s="1"/>
  <c r="J17" i="3" s="1"/>
  <c r="J30" i="3"/>
  <c r="J34" i="3" s="1"/>
  <c r="K30" i="3"/>
  <c r="K34" i="3" s="1"/>
  <c r="I30" i="3"/>
  <c r="I34" i="3" s="1"/>
  <c r="D35" i="3" s="1"/>
  <c r="J33" i="3"/>
  <c r="K33" i="3"/>
  <c r="I33" i="3"/>
  <c r="J31" i="3"/>
  <c r="K31" i="3"/>
  <c r="I31" i="3"/>
  <c r="I26" i="3"/>
  <c r="J26" i="3"/>
  <c r="K26" i="3"/>
  <c r="I27" i="3"/>
  <c r="J27" i="3"/>
  <c r="K27" i="3"/>
  <c r="I28" i="3"/>
  <c r="J28" i="3"/>
  <c r="K28" i="3"/>
  <c r="J25" i="3"/>
  <c r="K25" i="3"/>
  <c r="I25" i="3"/>
  <c r="F34" i="3"/>
  <c r="F33" i="3"/>
  <c r="E34" i="3"/>
  <c r="D21" i="3"/>
  <c r="D34" i="3"/>
  <c r="F30" i="3"/>
  <c r="D20" i="3"/>
  <c r="J19" i="3"/>
  <c r="K19" i="3"/>
  <c r="E19" i="3"/>
  <c r="F19" i="3"/>
  <c r="D19" i="3"/>
  <c r="E33" i="3"/>
  <c r="D33" i="3"/>
  <c r="F32" i="3"/>
  <c r="F31" i="3"/>
  <c r="D32" i="3"/>
  <c r="E32" i="3"/>
  <c r="E31" i="3"/>
  <c r="D31" i="3"/>
  <c r="E30" i="3"/>
  <c r="D30" i="3"/>
  <c r="D17" i="3"/>
  <c r="F29" i="3"/>
  <c r="F27" i="3"/>
  <c r="F26" i="3"/>
  <c r="F25" i="3"/>
  <c r="D26" i="3"/>
  <c r="E26" i="3"/>
  <c r="D27" i="3"/>
  <c r="E27" i="3"/>
  <c r="E25" i="3"/>
  <c r="D25" i="3"/>
  <c r="I20" i="3"/>
  <c r="I19" i="3"/>
  <c r="I17" i="3"/>
  <c r="K16" i="3"/>
  <c r="F16" i="3"/>
  <c r="F9" i="3"/>
  <c r="F10" i="3"/>
  <c r="F11" i="3"/>
  <c r="F12" i="3"/>
  <c r="F13" i="3"/>
  <c r="F14" i="3"/>
  <c r="F15" i="3"/>
  <c r="F8" i="3"/>
  <c r="I9" i="3"/>
  <c r="J9" i="3"/>
  <c r="K9" i="3"/>
  <c r="I10" i="3"/>
  <c r="J10" i="3"/>
  <c r="K10" i="3"/>
  <c r="I11" i="3"/>
  <c r="J11" i="3"/>
  <c r="K11" i="3"/>
  <c r="I12" i="3"/>
  <c r="J12" i="3"/>
  <c r="K12" i="3"/>
  <c r="I13" i="3"/>
  <c r="J13" i="3"/>
  <c r="K13" i="3"/>
  <c r="I14" i="3"/>
  <c r="J14" i="3"/>
  <c r="K14" i="3"/>
  <c r="I8" i="3"/>
  <c r="E17" i="3"/>
  <c r="D9" i="3"/>
  <c r="E9" i="3"/>
  <c r="D10" i="3"/>
  <c r="E10" i="3"/>
  <c r="D11" i="3"/>
  <c r="E11" i="3"/>
  <c r="D12" i="3"/>
  <c r="E12" i="3"/>
  <c r="D13" i="3"/>
  <c r="E13" i="3"/>
  <c r="D14" i="3"/>
  <c r="E14" i="3"/>
  <c r="D15" i="3"/>
  <c r="E15" i="3"/>
  <c r="E8" i="3"/>
  <c r="D8" i="3"/>
  <c r="H30" i="8"/>
  <c r="H29" i="8"/>
  <c r="H28" i="8"/>
  <c r="G28" i="8"/>
  <c r="G29" i="8" s="1"/>
  <c r="F28" i="8"/>
  <c r="H27" i="8"/>
  <c r="G27" i="8"/>
  <c r="F27" i="8"/>
  <c r="H26" i="8"/>
  <c r="H25" i="8"/>
  <c r="G25" i="8"/>
  <c r="F25" i="8"/>
  <c r="H24" i="8"/>
  <c r="G24" i="8"/>
  <c r="F24" i="8"/>
  <c r="H23" i="8"/>
  <c r="G23" i="8"/>
  <c r="F23" i="8"/>
  <c r="H19" i="8"/>
  <c r="H18" i="8"/>
  <c r="H16" i="8"/>
  <c r="H17" i="8"/>
  <c r="G17" i="8"/>
  <c r="G18" i="8" s="1"/>
  <c r="F17" i="8"/>
  <c r="H15" i="8"/>
  <c r="G15" i="8"/>
  <c r="F15" i="8"/>
  <c r="H12" i="8"/>
  <c r="H14" i="8"/>
  <c r="G14" i="8"/>
  <c r="F14" i="8"/>
  <c r="H13" i="8"/>
  <c r="G13" i="8"/>
  <c r="F13" i="8"/>
  <c r="G12" i="8"/>
  <c r="F12" i="8"/>
  <c r="H11" i="8"/>
  <c r="G11" i="8"/>
  <c r="F11" i="8"/>
  <c r="H10" i="8"/>
  <c r="G10" i="8"/>
  <c r="F10" i="8"/>
  <c r="H9" i="8"/>
  <c r="G9" i="8"/>
  <c r="F9" i="8"/>
  <c r="H8" i="8"/>
  <c r="G8" i="8"/>
  <c r="F8" i="8"/>
  <c r="Q195" i="7"/>
  <c r="F18" i="8"/>
  <c r="F8" i="4"/>
  <c r="F15" i="4"/>
  <c r="F17" i="4" s="1"/>
  <c r="P166" i="7"/>
  <c r="Q288" i="7"/>
  <c r="Q287" i="7"/>
  <c r="M287" i="7"/>
  <c r="P288" i="7"/>
  <c r="O288" i="7"/>
  <c r="N288" i="7"/>
  <c r="P287" i="7"/>
  <c r="O287" i="7"/>
  <c r="N287" i="7"/>
  <c r="P285" i="7"/>
  <c r="O285" i="7"/>
  <c r="O281" i="7" s="1"/>
  <c r="N285" i="7"/>
  <c r="P284" i="7"/>
  <c r="O284" i="7"/>
  <c r="N284" i="7"/>
  <c r="P283" i="7"/>
  <c r="O283" i="7"/>
  <c r="N283" i="7"/>
  <c r="P282" i="7"/>
  <c r="O282" i="7"/>
  <c r="N282" i="7"/>
  <c r="P280" i="7"/>
  <c r="O280" i="7"/>
  <c r="N280" i="7"/>
  <c r="P279" i="7"/>
  <c r="O279" i="7"/>
  <c r="N279" i="7"/>
  <c r="N273" i="7" s="1"/>
  <c r="P278" i="7"/>
  <c r="O278" i="7"/>
  <c r="N278" i="7"/>
  <c r="P277" i="7"/>
  <c r="O277" i="7"/>
  <c r="N277" i="7"/>
  <c r="P276" i="7"/>
  <c r="O276" i="7"/>
  <c r="N276" i="7"/>
  <c r="P275" i="7"/>
  <c r="O275" i="7"/>
  <c r="N275" i="7"/>
  <c r="P274" i="7"/>
  <c r="P273" i="7" s="1"/>
  <c r="O274" i="7"/>
  <c r="N274" i="7"/>
  <c r="P272" i="7"/>
  <c r="O272" i="7"/>
  <c r="N272" i="7"/>
  <c r="P271" i="7"/>
  <c r="O271" i="7"/>
  <c r="N271" i="7"/>
  <c r="P270" i="7"/>
  <c r="O270" i="7"/>
  <c r="N270" i="7"/>
  <c r="N264" i="7" s="1"/>
  <c r="P269" i="7"/>
  <c r="O269" i="7"/>
  <c r="N269" i="7"/>
  <c r="P268" i="7"/>
  <c r="O268" i="7"/>
  <c r="N268" i="7"/>
  <c r="P267" i="7"/>
  <c r="O267" i="7"/>
  <c r="O264" i="7" s="1"/>
  <c r="N267" i="7"/>
  <c r="P266" i="7"/>
  <c r="O266" i="7"/>
  <c r="N266" i="7"/>
  <c r="P265" i="7"/>
  <c r="O265" i="7"/>
  <c r="N265" i="7"/>
  <c r="P263" i="7"/>
  <c r="O263" i="7"/>
  <c r="N263" i="7"/>
  <c r="P262" i="7"/>
  <c r="O262" i="7"/>
  <c r="N262" i="7"/>
  <c r="P261" i="7"/>
  <c r="O261" i="7"/>
  <c r="N261" i="7"/>
  <c r="N255" i="7" s="1"/>
  <c r="P260" i="7"/>
  <c r="O260" i="7"/>
  <c r="N260" i="7"/>
  <c r="P259" i="7"/>
  <c r="O259" i="7"/>
  <c r="N259" i="7"/>
  <c r="P258" i="7"/>
  <c r="O258" i="7"/>
  <c r="N258" i="7"/>
  <c r="P257" i="7"/>
  <c r="O257" i="7"/>
  <c r="N257" i="7"/>
  <c r="P256" i="7"/>
  <c r="P255" i="7" s="1"/>
  <c r="O256" i="7"/>
  <c r="N256" i="7"/>
  <c r="P254" i="7"/>
  <c r="O254" i="7"/>
  <c r="N254" i="7"/>
  <c r="P253" i="7"/>
  <c r="O253" i="7"/>
  <c r="N253" i="7"/>
  <c r="P252" i="7"/>
  <c r="O252" i="7"/>
  <c r="N252" i="7"/>
  <c r="N248" i="7" s="1"/>
  <c r="P251" i="7"/>
  <c r="O251" i="7"/>
  <c r="N251" i="7"/>
  <c r="P250" i="7"/>
  <c r="O250" i="7"/>
  <c r="N250" i="7"/>
  <c r="P249" i="7"/>
  <c r="O249" i="7"/>
  <c r="O248" i="7" s="1"/>
  <c r="N249" i="7"/>
  <c r="P247" i="7"/>
  <c r="O247" i="7"/>
  <c r="N247" i="7"/>
  <c r="P246" i="7"/>
  <c r="O246" i="7"/>
  <c r="N246" i="7"/>
  <c r="P245" i="7"/>
  <c r="P241" i="7" s="1"/>
  <c r="O245" i="7"/>
  <c r="N245" i="7"/>
  <c r="P244" i="7"/>
  <c r="O244" i="7"/>
  <c r="N244" i="7"/>
  <c r="P243" i="7"/>
  <c r="O243" i="7"/>
  <c r="N243" i="7"/>
  <c r="N241" i="7" s="1"/>
  <c r="P242" i="7"/>
  <c r="O242" i="7"/>
  <c r="N242" i="7"/>
  <c r="P240" i="7"/>
  <c r="O240" i="7"/>
  <c r="N240" i="7"/>
  <c r="P239" i="7"/>
  <c r="O239" i="7"/>
  <c r="O234" i="7" s="1"/>
  <c r="N239" i="7"/>
  <c r="P238" i="7"/>
  <c r="O238" i="7"/>
  <c r="N238" i="7"/>
  <c r="P237" i="7"/>
  <c r="O237" i="7"/>
  <c r="N237" i="7"/>
  <c r="P236" i="7"/>
  <c r="O236" i="7"/>
  <c r="N236" i="7"/>
  <c r="P235" i="7"/>
  <c r="O235" i="7"/>
  <c r="N235" i="7"/>
  <c r="N234" i="7" s="1"/>
  <c r="P233" i="7"/>
  <c r="O233" i="7"/>
  <c r="N233" i="7"/>
  <c r="P232" i="7"/>
  <c r="O232" i="7"/>
  <c r="N232" i="7"/>
  <c r="P231" i="7"/>
  <c r="O231" i="7"/>
  <c r="N231" i="7"/>
  <c r="P230" i="7"/>
  <c r="O230" i="7"/>
  <c r="N230" i="7"/>
  <c r="P229" i="7"/>
  <c r="O229" i="7"/>
  <c r="N229" i="7"/>
  <c r="P228" i="7"/>
  <c r="O228" i="7"/>
  <c r="N228" i="7"/>
  <c r="P227" i="7"/>
  <c r="P225" i="7" s="1"/>
  <c r="P224" i="7" s="1"/>
  <c r="O227" i="7"/>
  <c r="N227" i="7"/>
  <c r="P226" i="7"/>
  <c r="O226" i="7"/>
  <c r="N226" i="7"/>
  <c r="N225" i="7" s="1"/>
  <c r="N224" i="7" s="1"/>
  <c r="P223" i="7"/>
  <c r="O223" i="7"/>
  <c r="N223" i="7"/>
  <c r="N222" i="7" s="1"/>
  <c r="P221" i="7"/>
  <c r="O221" i="7"/>
  <c r="N221" i="7"/>
  <c r="P220" i="7"/>
  <c r="O220" i="7"/>
  <c r="N220" i="7"/>
  <c r="P218" i="7"/>
  <c r="O218" i="7"/>
  <c r="N218" i="7"/>
  <c r="P217" i="7"/>
  <c r="O217" i="7"/>
  <c r="N217" i="7"/>
  <c r="P216" i="7"/>
  <c r="O216" i="7"/>
  <c r="N216" i="7"/>
  <c r="P215" i="7"/>
  <c r="O215" i="7"/>
  <c r="N215" i="7"/>
  <c r="P214" i="7"/>
  <c r="O214" i="7"/>
  <c r="N214" i="7"/>
  <c r="P213" i="7"/>
  <c r="O213" i="7"/>
  <c r="N213" i="7"/>
  <c r="N210" i="7" s="1"/>
  <c r="N209" i="7" s="1"/>
  <c r="P212" i="7"/>
  <c r="O212" i="7"/>
  <c r="N212" i="7"/>
  <c r="P211" i="7"/>
  <c r="O211" i="7"/>
  <c r="O210" i="7" s="1"/>
  <c r="O209" i="7" s="1"/>
  <c r="N211" i="7"/>
  <c r="P208" i="7"/>
  <c r="O208" i="7"/>
  <c r="O206" i="7" s="1"/>
  <c r="N208" i="7"/>
  <c r="P207" i="7"/>
  <c r="O207" i="7"/>
  <c r="N207" i="7"/>
  <c r="P205" i="7"/>
  <c r="O205" i="7"/>
  <c r="N205" i="7"/>
  <c r="P203" i="7"/>
  <c r="P202" i="7" s="1"/>
  <c r="O203" i="7"/>
  <c r="N203" i="7"/>
  <c r="P201" i="7"/>
  <c r="O201" i="7"/>
  <c r="N201" i="7"/>
  <c r="P200" i="7"/>
  <c r="O200" i="7"/>
  <c r="N200" i="7"/>
  <c r="N199" i="7" s="1"/>
  <c r="P198" i="7"/>
  <c r="O198" i="7"/>
  <c r="N198" i="7"/>
  <c r="P197" i="7"/>
  <c r="O197" i="7"/>
  <c r="N197" i="7"/>
  <c r="P186" i="7"/>
  <c r="O186" i="7"/>
  <c r="N186" i="7"/>
  <c r="P185" i="7"/>
  <c r="O185" i="7"/>
  <c r="N185" i="7"/>
  <c r="N183" i="7" s="1"/>
  <c r="P184" i="7"/>
  <c r="O184" i="7"/>
  <c r="N184" i="7"/>
  <c r="P182" i="7"/>
  <c r="O182" i="7"/>
  <c r="N182" i="7"/>
  <c r="P181" i="7"/>
  <c r="O181" i="7"/>
  <c r="O179" i="7" s="1"/>
  <c r="N181" i="7"/>
  <c r="P180" i="7"/>
  <c r="O180" i="7"/>
  <c r="N180" i="7"/>
  <c r="P178" i="7"/>
  <c r="O178" i="7"/>
  <c r="N178" i="7"/>
  <c r="P177" i="7"/>
  <c r="P176" i="7" s="1"/>
  <c r="O177" i="7"/>
  <c r="N177" i="7"/>
  <c r="P175" i="7"/>
  <c r="O175" i="7"/>
  <c r="N175" i="7"/>
  <c r="P173" i="7"/>
  <c r="O173" i="7"/>
  <c r="N173" i="7"/>
  <c r="N172" i="7" s="1"/>
  <c r="P171" i="7"/>
  <c r="O171" i="7"/>
  <c r="N171" i="7"/>
  <c r="P170" i="7"/>
  <c r="O170" i="7"/>
  <c r="N170" i="7"/>
  <c r="P169" i="7"/>
  <c r="O169" i="7"/>
  <c r="O166" i="7" s="1"/>
  <c r="O165" i="7" s="1"/>
  <c r="N169" i="7"/>
  <c r="P168" i="7"/>
  <c r="O168" i="7"/>
  <c r="N168" i="7"/>
  <c r="P167" i="7"/>
  <c r="O167" i="7"/>
  <c r="N167" i="7"/>
  <c r="P164" i="7"/>
  <c r="P162" i="7" s="1"/>
  <c r="O164" i="7"/>
  <c r="N164" i="7"/>
  <c r="P163" i="7"/>
  <c r="O163" i="7"/>
  <c r="N163" i="7"/>
  <c r="P161" i="7"/>
  <c r="O161" i="7"/>
  <c r="N161" i="7"/>
  <c r="N160" i="7" s="1"/>
  <c r="P159" i="7"/>
  <c r="O159" i="7"/>
  <c r="N159" i="7"/>
  <c r="P158" i="7"/>
  <c r="O158" i="7"/>
  <c r="N158" i="7"/>
  <c r="P156" i="7"/>
  <c r="O156" i="7"/>
  <c r="O154" i="7" s="1"/>
  <c r="N156" i="7"/>
  <c r="P155" i="7"/>
  <c r="O155" i="7"/>
  <c r="N155" i="7"/>
  <c r="P153" i="7"/>
  <c r="O153" i="7"/>
  <c r="N153" i="7"/>
  <c r="P152" i="7"/>
  <c r="P151" i="7" s="1"/>
  <c r="P150" i="7" s="1"/>
  <c r="O152" i="7"/>
  <c r="N152" i="7"/>
  <c r="P149" i="7"/>
  <c r="O149" i="7"/>
  <c r="N149" i="7"/>
  <c r="P148" i="7"/>
  <c r="O148" i="7"/>
  <c r="N148" i="7"/>
  <c r="N144" i="7" s="1"/>
  <c r="P147" i="7"/>
  <c r="O147" i="7"/>
  <c r="N147" i="7"/>
  <c r="P146" i="7"/>
  <c r="O146" i="7"/>
  <c r="N146" i="7"/>
  <c r="P145" i="7"/>
  <c r="O145" i="7"/>
  <c r="O144" i="7" s="1"/>
  <c r="N145" i="7"/>
  <c r="P143" i="7"/>
  <c r="O143" i="7"/>
  <c r="N143" i="7"/>
  <c r="P141" i="7"/>
  <c r="O141" i="7"/>
  <c r="N141" i="7"/>
  <c r="P139" i="7"/>
  <c r="P133" i="7" s="1"/>
  <c r="P132" i="7" s="1"/>
  <c r="O139" i="7"/>
  <c r="N139" i="7"/>
  <c r="P138" i="7"/>
  <c r="O138" i="7"/>
  <c r="N138" i="7"/>
  <c r="P137" i="7"/>
  <c r="O137" i="7"/>
  <c r="N137" i="7"/>
  <c r="N133" i="7" s="1"/>
  <c r="N132" i="7" s="1"/>
  <c r="P136" i="7"/>
  <c r="O136" i="7"/>
  <c r="N136" i="7"/>
  <c r="P135" i="7"/>
  <c r="O135" i="7"/>
  <c r="N135" i="7"/>
  <c r="P134" i="7"/>
  <c r="O134" i="7"/>
  <c r="N134" i="7"/>
  <c r="P131" i="7"/>
  <c r="O131" i="7"/>
  <c r="N131" i="7"/>
  <c r="P129" i="7"/>
  <c r="O129" i="7"/>
  <c r="N129" i="7"/>
  <c r="P127" i="7"/>
  <c r="P126" i="7" s="1"/>
  <c r="O127" i="7"/>
  <c r="N127" i="7"/>
  <c r="P125" i="7"/>
  <c r="O125" i="7"/>
  <c r="N125" i="7"/>
  <c r="P123" i="7"/>
  <c r="O123" i="7"/>
  <c r="N123" i="7"/>
  <c r="N122" i="7" s="1"/>
  <c r="N121" i="7" s="1"/>
  <c r="P120" i="7"/>
  <c r="O120" i="7"/>
  <c r="N120" i="7"/>
  <c r="P118" i="7"/>
  <c r="O118" i="7"/>
  <c r="N118" i="7"/>
  <c r="P116" i="7"/>
  <c r="O116" i="7"/>
  <c r="N116" i="7"/>
  <c r="P114" i="7"/>
  <c r="O114" i="7"/>
  <c r="N114" i="7"/>
  <c r="P111" i="7"/>
  <c r="O111" i="7"/>
  <c r="N111" i="7"/>
  <c r="P110" i="7"/>
  <c r="P103" i="7" s="1"/>
  <c r="O110" i="7"/>
  <c r="N110" i="7"/>
  <c r="P109" i="7"/>
  <c r="O109" i="7"/>
  <c r="N109" i="7"/>
  <c r="P108" i="7"/>
  <c r="O108" i="7"/>
  <c r="N108" i="7"/>
  <c r="N103" i="7" s="1"/>
  <c r="P107" i="7"/>
  <c r="O107" i="7"/>
  <c r="N107" i="7"/>
  <c r="P106" i="7"/>
  <c r="O106" i="7"/>
  <c r="N106" i="7"/>
  <c r="P105" i="7"/>
  <c r="O105" i="7"/>
  <c r="N105" i="7"/>
  <c r="P104" i="7"/>
  <c r="O104" i="7"/>
  <c r="N104" i="7"/>
  <c r="P102" i="7"/>
  <c r="O102" i="7"/>
  <c r="N102" i="7"/>
  <c r="P101" i="7"/>
  <c r="P96" i="7" s="1"/>
  <c r="O101" i="7"/>
  <c r="N101" i="7"/>
  <c r="P100" i="7"/>
  <c r="O100" i="7"/>
  <c r="N100" i="7"/>
  <c r="P99" i="7"/>
  <c r="O99" i="7"/>
  <c r="N99" i="7"/>
  <c r="N96" i="7" s="1"/>
  <c r="P98" i="7"/>
  <c r="O98" i="7"/>
  <c r="N98" i="7"/>
  <c r="P97" i="7"/>
  <c r="O97" i="7"/>
  <c r="N97" i="7"/>
  <c r="P95" i="7"/>
  <c r="O95" i="7"/>
  <c r="N95" i="7"/>
  <c r="P94" i="7"/>
  <c r="O94" i="7"/>
  <c r="N94" i="7"/>
  <c r="P93" i="7"/>
  <c r="O93" i="7"/>
  <c r="N93" i="7"/>
  <c r="P92" i="7"/>
  <c r="P89" i="7" s="1"/>
  <c r="O92" i="7"/>
  <c r="N92" i="7"/>
  <c r="P91" i="7"/>
  <c r="O91" i="7"/>
  <c r="N91" i="7"/>
  <c r="P90" i="7"/>
  <c r="O90" i="7"/>
  <c r="N90" i="7"/>
  <c r="N89" i="7" s="1"/>
  <c r="P88" i="7"/>
  <c r="O88" i="7"/>
  <c r="N88" i="7"/>
  <c r="P86" i="7"/>
  <c r="O86" i="7"/>
  <c r="N86" i="7"/>
  <c r="P85" i="7"/>
  <c r="O85" i="7"/>
  <c r="N85" i="7"/>
  <c r="P84" i="7"/>
  <c r="O84" i="7"/>
  <c r="N84" i="7"/>
  <c r="P82" i="7"/>
  <c r="O82" i="7"/>
  <c r="N82" i="7"/>
  <c r="P81" i="7"/>
  <c r="P77" i="7" s="1"/>
  <c r="O81" i="7"/>
  <c r="N81" i="7"/>
  <c r="P80" i="7"/>
  <c r="O80" i="7"/>
  <c r="N80" i="7"/>
  <c r="P79" i="7"/>
  <c r="O79" i="7"/>
  <c r="N79" i="7"/>
  <c r="N77" i="7" s="1"/>
  <c r="P78" i="7"/>
  <c r="O78" i="7"/>
  <c r="N78" i="7"/>
  <c r="P76" i="7"/>
  <c r="O76" i="7"/>
  <c r="N76" i="7"/>
  <c r="P75" i="7"/>
  <c r="O75" i="7"/>
  <c r="N75" i="7"/>
  <c r="P74" i="7"/>
  <c r="O74" i="7"/>
  <c r="N74" i="7"/>
  <c r="P73" i="7"/>
  <c r="O73" i="7"/>
  <c r="N73" i="7"/>
  <c r="P72" i="7"/>
  <c r="P70" i="7" s="1"/>
  <c r="O72" i="7"/>
  <c r="N72" i="7"/>
  <c r="P71" i="7"/>
  <c r="O71" i="7"/>
  <c r="N71" i="7"/>
  <c r="P69" i="7"/>
  <c r="O69" i="7"/>
  <c r="N69" i="7"/>
  <c r="N61" i="7" s="1"/>
  <c r="N60" i="7" s="1"/>
  <c r="P68" i="7"/>
  <c r="O68" i="7"/>
  <c r="N68" i="7"/>
  <c r="P67" i="7"/>
  <c r="O67" i="7"/>
  <c r="N67" i="7"/>
  <c r="P66" i="7"/>
  <c r="O66" i="7"/>
  <c r="O61" i="7" s="1"/>
  <c r="O60" i="7" s="1"/>
  <c r="N66" i="7"/>
  <c r="P65" i="7"/>
  <c r="O65" i="7"/>
  <c r="N65" i="7"/>
  <c r="P64" i="7"/>
  <c r="O64" i="7"/>
  <c r="N64" i="7"/>
  <c r="P63" i="7"/>
  <c r="P61" i="7" s="1"/>
  <c r="P60" i="7" s="1"/>
  <c r="O63" i="7"/>
  <c r="N63" i="7"/>
  <c r="P62" i="7"/>
  <c r="O62" i="7"/>
  <c r="N62" i="7"/>
  <c r="P59" i="7"/>
  <c r="O59" i="7"/>
  <c r="N59" i="7"/>
  <c r="N56" i="7" s="1"/>
  <c r="P58" i="7"/>
  <c r="O58" i="7"/>
  <c r="N58" i="7"/>
  <c r="P57" i="7"/>
  <c r="O57" i="7"/>
  <c r="N57" i="7"/>
  <c r="P55" i="7"/>
  <c r="O55" i="7"/>
  <c r="O51" i="7" s="1"/>
  <c r="N55" i="7"/>
  <c r="P54" i="7"/>
  <c r="O54" i="7"/>
  <c r="N54" i="7"/>
  <c r="P53" i="7"/>
  <c r="O53" i="7"/>
  <c r="N53" i="7"/>
  <c r="P52" i="7"/>
  <c r="P51" i="7" s="1"/>
  <c r="O52" i="7"/>
  <c r="N52" i="7"/>
  <c r="P50" i="7"/>
  <c r="O50" i="7"/>
  <c r="N50" i="7"/>
  <c r="P49" i="7"/>
  <c r="O49" i="7"/>
  <c r="N49" i="7"/>
  <c r="N47" i="7" s="1"/>
  <c r="P48" i="7"/>
  <c r="O48" i="7"/>
  <c r="N48" i="7"/>
  <c r="P46" i="7"/>
  <c r="O46" i="7"/>
  <c r="N46" i="7"/>
  <c r="P45" i="7"/>
  <c r="O45" i="7"/>
  <c r="O38" i="7" s="1"/>
  <c r="N45" i="7"/>
  <c r="P44" i="7"/>
  <c r="O44" i="7"/>
  <c r="N44" i="7"/>
  <c r="P43" i="7"/>
  <c r="O43" i="7"/>
  <c r="N43" i="7"/>
  <c r="P42" i="7"/>
  <c r="P38" i="7" s="1"/>
  <c r="O42" i="7"/>
  <c r="N42" i="7"/>
  <c r="P41" i="7"/>
  <c r="O41" i="7"/>
  <c r="N41" i="7"/>
  <c r="P40" i="7"/>
  <c r="O40" i="7"/>
  <c r="N40" i="7"/>
  <c r="N38" i="7" s="1"/>
  <c r="P39" i="7"/>
  <c r="O39" i="7"/>
  <c r="N39" i="7"/>
  <c r="P37" i="7"/>
  <c r="O37" i="7"/>
  <c r="N37" i="7"/>
  <c r="P36" i="7"/>
  <c r="O36" i="7"/>
  <c r="N36" i="7"/>
  <c r="P35" i="7"/>
  <c r="O35" i="7"/>
  <c r="N35" i="7"/>
  <c r="P34" i="7"/>
  <c r="O34" i="7"/>
  <c r="N34" i="7"/>
  <c r="P33" i="7"/>
  <c r="P30" i="7" s="1"/>
  <c r="P29" i="7" s="1"/>
  <c r="O33" i="7"/>
  <c r="N33" i="7"/>
  <c r="P32" i="7"/>
  <c r="O32" i="7"/>
  <c r="N32" i="7"/>
  <c r="P31" i="7"/>
  <c r="O31" i="7"/>
  <c r="N31" i="7"/>
  <c r="N30" i="7" s="1"/>
  <c r="N29" i="7" s="1"/>
  <c r="P28" i="7"/>
  <c r="O28" i="7"/>
  <c r="N28" i="7"/>
  <c r="P27" i="7"/>
  <c r="O27" i="7"/>
  <c r="N27" i="7"/>
  <c r="P26" i="7"/>
  <c r="O26" i="7"/>
  <c r="O23" i="7" s="1"/>
  <c r="N26" i="7"/>
  <c r="P25" i="7"/>
  <c r="O25" i="7"/>
  <c r="N25" i="7"/>
  <c r="P24" i="7"/>
  <c r="O24" i="7"/>
  <c r="N24" i="7"/>
  <c r="P22" i="7"/>
  <c r="P20" i="7" s="1"/>
  <c r="O22" i="7"/>
  <c r="N22" i="7"/>
  <c r="P21" i="7"/>
  <c r="O21" i="7"/>
  <c r="N21" i="7"/>
  <c r="P19" i="7"/>
  <c r="O19" i="7"/>
  <c r="N19" i="7"/>
  <c r="N17" i="7" s="1"/>
  <c r="P18" i="7"/>
  <c r="O18" i="7"/>
  <c r="N18" i="7"/>
  <c r="P16" i="7"/>
  <c r="O16" i="7"/>
  <c r="N16" i="7"/>
  <c r="P15" i="7"/>
  <c r="O15" i="7"/>
  <c r="N15" i="7"/>
  <c r="P13" i="7"/>
  <c r="O13" i="7"/>
  <c r="N13" i="7"/>
  <c r="P12" i="7"/>
  <c r="O12" i="7"/>
  <c r="N12" i="7"/>
  <c r="N11" i="7" s="1"/>
  <c r="M286" i="7"/>
  <c r="M288" i="7"/>
  <c r="I287" i="7"/>
  <c r="L288" i="7"/>
  <c r="L289" i="7" s="1"/>
  <c r="K288" i="7"/>
  <c r="J288" i="7"/>
  <c r="L287" i="7"/>
  <c r="K287" i="7"/>
  <c r="J287" i="7"/>
  <c r="L285" i="7"/>
  <c r="K285" i="7"/>
  <c r="J285" i="7"/>
  <c r="J281" i="7" s="1"/>
  <c r="L284" i="7"/>
  <c r="K284" i="7"/>
  <c r="J284" i="7"/>
  <c r="L283" i="7"/>
  <c r="K283" i="7"/>
  <c r="J283" i="7"/>
  <c r="L282" i="7"/>
  <c r="K282" i="7"/>
  <c r="K281" i="7" s="1"/>
  <c r="J282" i="7"/>
  <c r="L280" i="7"/>
  <c r="K280" i="7"/>
  <c r="J280" i="7"/>
  <c r="L279" i="7"/>
  <c r="K279" i="7"/>
  <c r="J279" i="7"/>
  <c r="L278" i="7"/>
  <c r="L273" i="7" s="1"/>
  <c r="K278" i="7"/>
  <c r="J278" i="7"/>
  <c r="L277" i="7"/>
  <c r="K277" i="7"/>
  <c r="J277" i="7"/>
  <c r="L276" i="7"/>
  <c r="K276" i="7"/>
  <c r="K273" i="7" s="1"/>
  <c r="J276" i="7"/>
  <c r="J273" i="7" s="1"/>
  <c r="L275" i="7"/>
  <c r="K275" i="7"/>
  <c r="J275" i="7"/>
  <c r="L274" i="7"/>
  <c r="K274" i="7"/>
  <c r="J274" i="7"/>
  <c r="L272" i="7"/>
  <c r="K272" i="7"/>
  <c r="J272" i="7"/>
  <c r="L271" i="7"/>
  <c r="K271" i="7"/>
  <c r="J271" i="7"/>
  <c r="L270" i="7"/>
  <c r="K270" i="7"/>
  <c r="J270" i="7"/>
  <c r="L269" i="7"/>
  <c r="K269" i="7"/>
  <c r="J269" i="7"/>
  <c r="L268" i="7"/>
  <c r="K268" i="7"/>
  <c r="J268" i="7"/>
  <c r="L267" i="7"/>
  <c r="K267" i="7"/>
  <c r="K264" i="7" s="1"/>
  <c r="J267" i="7"/>
  <c r="J264" i="7" s="1"/>
  <c r="L266" i="7"/>
  <c r="K266" i="7"/>
  <c r="J266" i="7"/>
  <c r="L265" i="7"/>
  <c r="K265" i="7"/>
  <c r="J265" i="7"/>
  <c r="L263" i="7"/>
  <c r="K263" i="7"/>
  <c r="J263" i="7"/>
  <c r="L262" i="7"/>
  <c r="K262" i="7"/>
  <c r="J262" i="7"/>
  <c r="L261" i="7"/>
  <c r="K261" i="7"/>
  <c r="J261" i="7"/>
  <c r="L260" i="7"/>
  <c r="L255" i="7" s="1"/>
  <c r="K260" i="7"/>
  <c r="J260" i="7"/>
  <c r="L259" i="7"/>
  <c r="K259" i="7"/>
  <c r="J259" i="7"/>
  <c r="L258" i="7"/>
  <c r="K258" i="7"/>
  <c r="K255" i="7" s="1"/>
  <c r="J258" i="7"/>
  <c r="J255" i="7" s="1"/>
  <c r="L257" i="7"/>
  <c r="K257" i="7"/>
  <c r="J257" i="7"/>
  <c r="L256" i="7"/>
  <c r="K256" i="7"/>
  <c r="J256" i="7"/>
  <c r="L254" i="7"/>
  <c r="K254" i="7"/>
  <c r="J254" i="7"/>
  <c r="L253" i="7"/>
  <c r="K253" i="7"/>
  <c r="J253" i="7"/>
  <c r="L252" i="7"/>
  <c r="K252" i="7"/>
  <c r="J252" i="7"/>
  <c r="L251" i="7"/>
  <c r="K251" i="7"/>
  <c r="J251" i="7"/>
  <c r="L250" i="7"/>
  <c r="K250" i="7"/>
  <c r="J250" i="7"/>
  <c r="L249" i="7"/>
  <c r="K249" i="7"/>
  <c r="K248" i="7" s="1"/>
  <c r="J249" i="7"/>
  <c r="J248" i="7" s="1"/>
  <c r="L247" i="7"/>
  <c r="K247" i="7"/>
  <c r="J247" i="7"/>
  <c r="L246" i="7"/>
  <c r="K246" i="7"/>
  <c r="J246" i="7"/>
  <c r="L245" i="7"/>
  <c r="K245" i="7"/>
  <c r="K241" i="7" s="1"/>
  <c r="J245" i="7"/>
  <c r="L244" i="7"/>
  <c r="K244" i="7"/>
  <c r="J244" i="7"/>
  <c r="L243" i="7"/>
  <c r="K243" i="7"/>
  <c r="J243" i="7"/>
  <c r="J241" i="7" s="1"/>
  <c r="L242" i="7"/>
  <c r="L241" i="7" s="1"/>
  <c r="K242" i="7"/>
  <c r="J242" i="7"/>
  <c r="L240" i="7"/>
  <c r="K240" i="7"/>
  <c r="J240" i="7"/>
  <c r="L239" i="7"/>
  <c r="K239" i="7"/>
  <c r="J239" i="7"/>
  <c r="J234" i="7" s="1"/>
  <c r="L238" i="7"/>
  <c r="K238" i="7"/>
  <c r="J238" i="7"/>
  <c r="L237" i="7"/>
  <c r="K237" i="7"/>
  <c r="J237" i="7"/>
  <c r="L236" i="7"/>
  <c r="K236" i="7"/>
  <c r="K234" i="7" s="1"/>
  <c r="J236" i="7"/>
  <c r="L235" i="7"/>
  <c r="K235" i="7"/>
  <c r="J235" i="7"/>
  <c r="L233" i="7"/>
  <c r="K233" i="7"/>
  <c r="J233" i="7"/>
  <c r="L232" i="7"/>
  <c r="K232" i="7"/>
  <c r="J232" i="7"/>
  <c r="L231" i="7"/>
  <c r="K231" i="7"/>
  <c r="J231" i="7"/>
  <c r="L230" i="7"/>
  <c r="K230" i="7"/>
  <c r="J230" i="7"/>
  <c r="J225" i="7" s="1"/>
  <c r="L229" i="7"/>
  <c r="K229" i="7"/>
  <c r="J229" i="7"/>
  <c r="L228" i="7"/>
  <c r="K228" i="7"/>
  <c r="J228" i="7"/>
  <c r="L227" i="7"/>
  <c r="L225" i="7" s="1"/>
  <c r="L224" i="7" s="1"/>
  <c r="K227" i="7"/>
  <c r="K225" i="7" s="1"/>
  <c r="J227" i="7"/>
  <c r="L226" i="7"/>
  <c r="K226" i="7"/>
  <c r="J226" i="7"/>
  <c r="L223" i="7"/>
  <c r="K223" i="7"/>
  <c r="J223" i="7"/>
  <c r="J222" i="7" s="1"/>
  <c r="L221" i="7"/>
  <c r="L219" i="7" s="1"/>
  <c r="K221" i="7"/>
  <c r="J221" i="7"/>
  <c r="L220" i="7"/>
  <c r="K220" i="7"/>
  <c r="J220" i="7"/>
  <c r="L218" i="7"/>
  <c r="K218" i="7"/>
  <c r="J218" i="7"/>
  <c r="L217" i="7"/>
  <c r="K217" i="7"/>
  <c r="J217" i="7"/>
  <c r="L216" i="7"/>
  <c r="K216" i="7"/>
  <c r="J216" i="7"/>
  <c r="L215" i="7"/>
  <c r="K215" i="7"/>
  <c r="K210" i="7" s="1"/>
  <c r="K209" i="7" s="1"/>
  <c r="J215" i="7"/>
  <c r="L214" i="7"/>
  <c r="K214" i="7"/>
  <c r="J214" i="7"/>
  <c r="L213" i="7"/>
  <c r="K213" i="7"/>
  <c r="J213" i="7"/>
  <c r="J210" i="7" s="1"/>
  <c r="J209" i="7" s="1"/>
  <c r="L212" i="7"/>
  <c r="K212" i="7"/>
  <c r="J212" i="7"/>
  <c r="L211" i="7"/>
  <c r="K211" i="7"/>
  <c r="J211" i="7"/>
  <c r="L208" i="7"/>
  <c r="K208" i="7"/>
  <c r="K206" i="7" s="1"/>
  <c r="J208" i="7"/>
  <c r="J206" i="7" s="1"/>
  <c r="L207" i="7"/>
  <c r="K207" i="7"/>
  <c r="J207" i="7"/>
  <c r="L205" i="7"/>
  <c r="K205" i="7"/>
  <c r="J205" i="7"/>
  <c r="L203" i="7"/>
  <c r="L202" i="7" s="1"/>
  <c r="K203" i="7"/>
  <c r="K202" i="7" s="1"/>
  <c r="J203" i="7"/>
  <c r="L201" i="7"/>
  <c r="K201" i="7"/>
  <c r="J201" i="7"/>
  <c r="L200" i="7"/>
  <c r="K200" i="7"/>
  <c r="J200" i="7"/>
  <c r="J199" i="7" s="1"/>
  <c r="L198" i="7"/>
  <c r="L196" i="7" s="1"/>
  <c r="K198" i="7"/>
  <c r="J198" i="7"/>
  <c r="L197" i="7"/>
  <c r="K197" i="7"/>
  <c r="J197" i="7"/>
  <c r="F186" i="7"/>
  <c r="F196" i="7"/>
  <c r="G196" i="7"/>
  <c r="H196" i="7"/>
  <c r="H285" i="7"/>
  <c r="G285" i="7"/>
  <c r="F285" i="7"/>
  <c r="H284" i="7"/>
  <c r="G284" i="7"/>
  <c r="F284" i="7"/>
  <c r="H283" i="7"/>
  <c r="G283" i="7"/>
  <c r="G281" i="7" s="1"/>
  <c r="F283" i="7"/>
  <c r="H282" i="7"/>
  <c r="G282" i="7"/>
  <c r="F282" i="7"/>
  <c r="H280" i="7"/>
  <c r="G280" i="7"/>
  <c r="F280" i="7"/>
  <c r="H279" i="7"/>
  <c r="H273" i="7" s="1"/>
  <c r="G279" i="7"/>
  <c r="F279" i="7"/>
  <c r="H278" i="7"/>
  <c r="G278" i="7"/>
  <c r="F278" i="7"/>
  <c r="H277" i="7"/>
  <c r="G277" i="7"/>
  <c r="F277" i="7"/>
  <c r="F273" i="7" s="1"/>
  <c r="H276" i="7"/>
  <c r="G276" i="7"/>
  <c r="F276" i="7"/>
  <c r="H275" i="7"/>
  <c r="G275" i="7"/>
  <c r="F275" i="7"/>
  <c r="H274" i="7"/>
  <c r="G274" i="7"/>
  <c r="G273" i="7" s="1"/>
  <c r="F274" i="7"/>
  <c r="H272" i="7"/>
  <c r="G272" i="7"/>
  <c r="F272" i="7"/>
  <c r="H271" i="7"/>
  <c r="G271" i="7"/>
  <c r="F271" i="7"/>
  <c r="H270" i="7"/>
  <c r="H264" i="7" s="1"/>
  <c r="G270" i="7"/>
  <c r="F270" i="7"/>
  <c r="H269" i="7"/>
  <c r="G269" i="7"/>
  <c r="F269" i="7"/>
  <c r="H268" i="7"/>
  <c r="G268" i="7"/>
  <c r="F268" i="7"/>
  <c r="F264" i="7" s="1"/>
  <c r="H267" i="7"/>
  <c r="G267" i="7"/>
  <c r="F267" i="7"/>
  <c r="H266" i="7"/>
  <c r="G266" i="7"/>
  <c r="F266" i="7"/>
  <c r="H265" i="7"/>
  <c r="G265" i="7"/>
  <c r="G264" i="7" s="1"/>
  <c r="F265" i="7"/>
  <c r="H263" i="7"/>
  <c r="G263" i="7"/>
  <c r="F263" i="7"/>
  <c r="H262" i="7"/>
  <c r="G262" i="7"/>
  <c r="F262" i="7"/>
  <c r="H261" i="7"/>
  <c r="H255" i="7" s="1"/>
  <c r="G261" i="7"/>
  <c r="F261" i="7"/>
  <c r="H260" i="7"/>
  <c r="G260" i="7"/>
  <c r="F260" i="7"/>
  <c r="H259" i="7"/>
  <c r="G259" i="7"/>
  <c r="F259" i="7"/>
  <c r="F255" i="7" s="1"/>
  <c r="H258" i="7"/>
  <c r="G258" i="7"/>
  <c r="F258" i="7"/>
  <c r="H257" i="7"/>
  <c r="G257" i="7"/>
  <c r="F257" i="7"/>
  <c r="H256" i="7"/>
  <c r="G256" i="7"/>
  <c r="G255" i="7" s="1"/>
  <c r="F256" i="7"/>
  <c r="H254" i="7"/>
  <c r="G254" i="7"/>
  <c r="F254" i="7"/>
  <c r="H253" i="7"/>
  <c r="G253" i="7"/>
  <c r="F253" i="7"/>
  <c r="H252" i="7"/>
  <c r="H248" i="7" s="1"/>
  <c r="G252" i="7"/>
  <c r="F252" i="7"/>
  <c r="H251" i="7"/>
  <c r="G251" i="7"/>
  <c r="F251" i="7"/>
  <c r="H250" i="7"/>
  <c r="G250" i="7"/>
  <c r="F250" i="7"/>
  <c r="H249" i="7"/>
  <c r="G249" i="7"/>
  <c r="F249" i="7"/>
  <c r="H247" i="7"/>
  <c r="G247" i="7"/>
  <c r="F247" i="7"/>
  <c r="H246" i="7"/>
  <c r="G246" i="7"/>
  <c r="G241" i="7" s="1"/>
  <c r="F246" i="7"/>
  <c r="H245" i="7"/>
  <c r="G245" i="7"/>
  <c r="F245" i="7"/>
  <c r="H244" i="7"/>
  <c r="G244" i="7"/>
  <c r="F244" i="7"/>
  <c r="H243" i="7"/>
  <c r="H241" i="7" s="1"/>
  <c r="G243" i="7"/>
  <c r="F243" i="7"/>
  <c r="H242" i="7"/>
  <c r="G242" i="7"/>
  <c r="F242" i="7"/>
  <c r="H240" i="7"/>
  <c r="G240" i="7"/>
  <c r="F240" i="7"/>
  <c r="F234" i="7" s="1"/>
  <c r="H239" i="7"/>
  <c r="G239" i="7"/>
  <c r="F239" i="7"/>
  <c r="H238" i="7"/>
  <c r="G238" i="7"/>
  <c r="F238" i="7"/>
  <c r="H237" i="7"/>
  <c r="G237" i="7"/>
  <c r="F237" i="7"/>
  <c r="H236" i="7"/>
  <c r="G236" i="7"/>
  <c r="F236" i="7"/>
  <c r="H235" i="7"/>
  <c r="G235" i="7"/>
  <c r="F235" i="7"/>
  <c r="H233" i="7"/>
  <c r="H225" i="7" s="1"/>
  <c r="G233" i="7"/>
  <c r="F233" i="7"/>
  <c r="H232" i="7"/>
  <c r="G232" i="7"/>
  <c r="F232" i="7"/>
  <c r="H231" i="7"/>
  <c r="G231" i="7"/>
  <c r="F231" i="7"/>
  <c r="F225" i="7" s="1"/>
  <c r="H230" i="7"/>
  <c r="G230" i="7"/>
  <c r="F230" i="7"/>
  <c r="H229" i="7"/>
  <c r="G229" i="7"/>
  <c r="F229" i="7"/>
  <c r="H228" i="7"/>
  <c r="G228" i="7"/>
  <c r="G225" i="7" s="1"/>
  <c r="F228" i="7"/>
  <c r="H227" i="7"/>
  <c r="G227" i="7"/>
  <c r="F227" i="7"/>
  <c r="H226" i="7"/>
  <c r="G226" i="7"/>
  <c r="F226" i="7"/>
  <c r="H223" i="7"/>
  <c r="G223" i="7"/>
  <c r="F223" i="7"/>
  <c r="H221" i="7"/>
  <c r="G221" i="7"/>
  <c r="F221" i="7"/>
  <c r="H220" i="7"/>
  <c r="G220" i="7"/>
  <c r="F220" i="7"/>
  <c r="H218" i="7"/>
  <c r="G218" i="7"/>
  <c r="F218" i="7"/>
  <c r="H217" i="7"/>
  <c r="G217" i="7"/>
  <c r="F217" i="7"/>
  <c r="H216" i="7"/>
  <c r="G216" i="7"/>
  <c r="F216" i="7"/>
  <c r="H215" i="7"/>
  <c r="G215" i="7"/>
  <c r="F215" i="7"/>
  <c r="H214" i="7"/>
  <c r="G214" i="7"/>
  <c r="F214" i="7"/>
  <c r="F210" i="7" s="1"/>
  <c r="F209" i="7" s="1"/>
  <c r="H213" i="7"/>
  <c r="G213" i="7"/>
  <c r="F213" i="7"/>
  <c r="H212" i="7"/>
  <c r="G212" i="7"/>
  <c r="F212" i="7"/>
  <c r="H211" i="7"/>
  <c r="G211" i="7"/>
  <c r="G210" i="7" s="1"/>
  <c r="G209" i="7" s="1"/>
  <c r="F211" i="7"/>
  <c r="H208" i="7"/>
  <c r="G208" i="7"/>
  <c r="F208" i="7"/>
  <c r="H207" i="7"/>
  <c r="G207" i="7"/>
  <c r="F207" i="7"/>
  <c r="H205" i="7"/>
  <c r="G205" i="7"/>
  <c r="G204" i="7" s="1"/>
  <c r="F205" i="7"/>
  <c r="H203" i="7"/>
  <c r="G203" i="7"/>
  <c r="F203" i="7"/>
  <c r="H201" i="7"/>
  <c r="G201" i="7"/>
  <c r="F201" i="7"/>
  <c r="H200" i="7"/>
  <c r="H199" i="7" s="1"/>
  <c r="H195" i="7" s="1"/>
  <c r="G200" i="7"/>
  <c r="F200" i="7"/>
  <c r="H198" i="7"/>
  <c r="G198" i="7"/>
  <c r="F198" i="7"/>
  <c r="H197" i="7"/>
  <c r="G197" i="7"/>
  <c r="F197" i="7"/>
  <c r="L188" i="7"/>
  <c r="K188" i="7"/>
  <c r="J188" i="7"/>
  <c r="L186" i="7"/>
  <c r="K186" i="7"/>
  <c r="J186" i="7"/>
  <c r="L185" i="7"/>
  <c r="K185" i="7"/>
  <c r="J185" i="7"/>
  <c r="L184" i="7"/>
  <c r="K184" i="7"/>
  <c r="K183" i="7" s="1"/>
  <c r="J184" i="7"/>
  <c r="L182" i="7"/>
  <c r="K182" i="7"/>
  <c r="J182" i="7"/>
  <c r="L181" i="7"/>
  <c r="K181" i="7"/>
  <c r="J181" i="7"/>
  <c r="L180" i="7"/>
  <c r="L179" i="7" s="1"/>
  <c r="K180" i="7"/>
  <c r="J180" i="7"/>
  <c r="L178" i="7"/>
  <c r="K178" i="7"/>
  <c r="J178" i="7"/>
  <c r="L177" i="7"/>
  <c r="K177" i="7"/>
  <c r="J177" i="7"/>
  <c r="J176" i="7" s="1"/>
  <c r="L175" i="7"/>
  <c r="K175" i="7"/>
  <c r="J175" i="7"/>
  <c r="L173" i="7"/>
  <c r="K173" i="7"/>
  <c r="K172" i="7" s="1"/>
  <c r="J173" i="7"/>
  <c r="L171" i="7"/>
  <c r="K171" i="7"/>
  <c r="J171" i="7"/>
  <c r="L170" i="7"/>
  <c r="K170" i="7"/>
  <c r="J170" i="7"/>
  <c r="L169" i="7"/>
  <c r="K169" i="7"/>
  <c r="J169" i="7"/>
  <c r="L168" i="7"/>
  <c r="L166" i="7" s="1"/>
  <c r="L165" i="7" s="1"/>
  <c r="K168" i="7"/>
  <c r="J168" i="7"/>
  <c r="L167" i="7"/>
  <c r="K167" i="7"/>
  <c r="J167" i="7"/>
  <c r="J166" i="7" s="1"/>
  <c r="L164" i="7"/>
  <c r="K164" i="7"/>
  <c r="J164" i="7"/>
  <c r="J162" i="7" s="1"/>
  <c r="L163" i="7"/>
  <c r="K163" i="7"/>
  <c r="J163" i="7"/>
  <c r="L161" i="7"/>
  <c r="K161" i="7"/>
  <c r="J161" i="7"/>
  <c r="L159" i="7"/>
  <c r="K159" i="7"/>
  <c r="K157" i="7" s="1"/>
  <c r="J159" i="7"/>
  <c r="L158" i="7"/>
  <c r="K158" i="7"/>
  <c r="J158" i="7"/>
  <c r="L156" i="7"/>
  <c r="K156" i="7"/>
  <c r="J156" i="7"/>
  <c r="L155" i="7"/>
  <c r="L154" i="7" s="1"/>
  <c r="K155" i="7"/>
  <c r="J155" i="7"/>
  <c r="L153" i="7"/>
  <c r="K153" i="7"/>
  <c r="J153" i="7"/>
  <c r="L152" i="7"/>
  <c r="K152" i="7"/>
  <c r="J152" i="7"/>
  <c r="J151" i="7" s="1"/>
  <c r="J150" i="7" s="1"/>
  <c r="L149" i="7"/>
  <c r="K149" i="7"/>
  <c r="J149" i="7"/>
  <c r="L148" i="7"/>
  <c r="K148" i="7"/>
  <c r="J148" i="7"/>
  <c r="L147" i="7"/>
  <c r="K147" i="7"/>
  <c r="J147" i="7"/>
  <c r="L146" i="7"/>
  <c r="K146" i="7"/>
  <c r="J146" i="7"/>
  <c r="L145" i="7"/>
  <c r="L144" i="7" s="1"/>
  <c r="K145" i="7"/>
  <c r="J145" i="7"/>
  <c r="L143" i="7"/>
  <c r="K143" i="7"/>
  <c r="J143" i="7"/>
  <c r="L141" i="7"/>
  <c r="K141" i="7"/>
  <c r="J141" i="7"/>
  <c r="J140" i="7" s="1"/>
  <c r="L139" i="7"/>
  <c r="K139" i="7"/>
  <c r="J139" i="7"/>
  <c r="J133" i="7" s="1"/>
  <c r="J132" i="7" s="1"/>
  <c r="M132" i="7" s="1"/>
  <c r="L138" i="7"/>
  <c r="K138" i="7"/>
  <c r="J138" i="7"/>
  <c r="L137" i="7"/>
  <c r="K137" i="7"/>
  <c r="J137" i="7"/>
  <c r="L136" i="7"/>
  <c r="K136" i="7"/>
  <c r="K133" i="7" s="1"/>
  <c r="K132" i="7" s="1"/>
  <c r="J136" i="7"/>
  <c r="L135" i="7"/>
  <c r="K135" i="7"/>
  <c r="J135" i="7"/>
  <c r="L134" i="7"/>
  <c r="K134" i="7"/>
  <c r="J134" i="7"/>
  <c r="L131" i="7"/>
  <c r="L130" i="7" s="1"/>
  <c r="K131" i="7"/>
  <c r="J131" i="7"/>
  <c r="L129" i="7"/>
  <c r="K129" i="7"/>
  <c r="J129" i="7"/>
  <c r="J128" i="7" s="1"/>
  <c r="L127" i="7"/>
  <c r="K127" i="7"/>
  <c r="J127" i="7"/>
  <c r="J126" i="7" s="1"/>
  <c r="J121" i="7" s="1"/>
  <c r="L125" i="7"/>
  <c r="K125" i="7"/>
  <c r="J125" i="7"/>
  <c r="L123" i="7"/>
  <c r="K123" i="7"/>
  <c r="K122" i="7" s="1"/>
  <c r="K121" i="7" s="1"/>
  <c r="J123" i="7"/>
  <c r="L120" i="7"/>
  <c r="K120" i="7"/>
  <c r="J120" i="7"/>
  <c r="L118" i="7"/>
  <c r="K118" i="7"/>
  <c r="J118" i="7"/>
  <c r="L116" i="7"/>
  <c r="L115" i="7" s="1"/>
  <c r="K116" i="7"/>
  <c r="J116" i="7"/>
  <c r="L114" i="7"/>
  <c r="L113" i="7" s="1"/>
  <c r="L112" i="7" s="1"/>
  <c r="K114" i="7"/>
  <c r="J114" i="7"/>
  <c r="L111" i="7"/>
  <c r="K111" i="7"/>
  <c r="J111" i="7"/>
  <c r="L110" i="7"/>
  <c r="K110" i="7"/>
  <c r="J110" i="7"/>
  <c r="L109" i="7"/>
  <c r="K109" i="7"/>
  <c r="K103" i="7" s="1"/>
  <c r="J109" i="7"/>
  <c r="L108" i="7"/>
  <c r="K108" i="7"/>
  <c r="J108" i="7"/>
  <c r="L107" i="7"/>
  <c r="K107" i="7"/>
  <c r="J107" i="7"/>
  <c r="L106" i="7"/>
  <c r="K106" i="7"/>
  <c r="J106" i="7"/>
  <c r="L105" i="7"/>
  <c r="K105" i="7"/>
  <c r="J105" i="7"/>
  <c r="L104" i="7"/>
  <c r="K104" i="7"/>
  <c r="J104" i="7"/>
  <c r="J103" i="7" s="1"/>
  <c r="L102" i="7"/>
  <c r="K102" i="7"/>
  <c r="J102" i="7"/>
  <c r="L101" i="7"/>
  <c r="K101" i="7"/>
  <c r="J101" i="7"/>
  <c r="L100" i="7"/>
  <c r="K100" i="7"/>
  <c r="K96" i="7" s="1"/>
  <c r="J100" i="7"/>
  <c r="L99" i="7"/>
  <c r="K99" i="7"/>
  <c r="J99" i="7"/>
  <c r="L98" i="7"/>
  <c r="K98" i="7"/>
  <c r="J98" i="7"/>
  <c r="L97" i="7"/>
  <c r="L96" i="7" s="1"/>
  <c r="K97" i="7"/>
  <c r="J97" i="7"/>
  <c r="L95" i="7"/>
  <c r="K95" i="7"/>
  <c r="J95" i="7"/>
  <c r="L94" i="7"/>
  <c r="K94" i="7"/>
  <c r="J94" i="7"/>
  <c r="J89" i="7" s="1"/>
  <c r="L93" i="7"/>
  <c r="K93" i="7"/>
  <c r="J93" i="7"/>
  <c r="L92" i="7"/>
  <c r="K92" i="7"/>
  <c r="J92" i="7"/>
  <c r="L91" i="7"/>
  <c r="K91" i="7"/>
  <c r="K89" i="7" s="1"/>
  <c r="J91" i="7"/>
  <c r="L90" i="7"/>
  <c r="K90" i="7"/>
  <c r="J90" i="7"/>
  <c r="L88" i="7"/>
  <c r="K88" i="7"/>
  <c r="J88" i="7"/>
  <c r="L86" i="7"/>
  <c r="K86" i="7"/>
  <c r="J86" i="7"/>
  <c r="L85" i="7"/>
  <c r="K85" i="7"/>
  <c r="J85" i="7"/>
  <c r="L84" i="7"/>
  <c r="K84" i="7"/>
  <c r="J84" i="7"/>
  <c r="J83" i="7" s="1"/>
  <c r="L82" i="7"/>
  <c r="K82" i="7"/>
  <c r="J82" i="7"/>
  <c r="L81" i="7"/>
  <c r="K81" i="7"/>
  <c r="J81" i="7"/>
  <c r="L80" i="7"/>
  <c r="K80" i="7"/>
  <c r="K77" i="7" s="1"/>
  <c r="J80" i="7"/>
  <c r="L79" i="7"/>
  <c r="K79" i="7"/>
  <c r="J79" i="7"/>
  <c r="L78" i="7"/>
  <c r="K78" i="7"/>
  <c r="J78" i="7"/>
  <c r="L76" i="7"/>
  <c r="K76" i="7"/>
  <c r="J76" i="7"/>
  <c r="L75" i="7"/>
  <c r="K75" i="7"/>
  <c r="J75" i="7"/>
  <c r="L74" i="7"/>
  <c r="K74" i="7"/>
  <c r="J74" i="7"/>
  <c r="J70" i="7" s="1"/>
  <c r="L73" i="7"/>
  <c r="K73" i="7"/>
  <c r="J73" i="7"/>
  <c r="L72" i="7"/>
  <c r="K72" i="7"/>
  <c r="J72" i="7"/>
  <c r="L71" i="7"/>
  <c r="K71" i="7"/>
  <c r="K70" i="7" s="1"/>
  <c r="J71" i="7"/>
  <c r="L69" i="7"/>
  <c r="K69" i="7"/>
  <c r="J69" i="7"/>
  <c r="L68" i="7"/>
  <c r="K68" i="7"/>
  <c r="J68" i="7"/>
  <c r="L67" i="7"/>
  <c r="L61" i="7" s="1"/>
  <c r="L60" i="7" s="1"/>
  <c r="K67" i="7"/>
  <c r="J67" i="7"/>
  <c r="L66" i="7"/>
  <c r="K66" i="7"/>
  <c r="J66" i="7"/>
  <c r="L65" i="7"/>
  <c r="K65" i="7"/>
  <c r="J65" i="7"/>
  <c r="J61" i="7" s="1"/>
  <c r="J60" i="7" s="1"/>
  <c r="L64" i="7"/>
  <c r="K64" i="7"/>
  <c r="J64" i="7"/>
  <c r="L63" i="7"/>
  <c r="K63" i="7"/>
  <c r="J63" i="7"/>
  <c r="L62" i="7"/>
  <c r="K62" i="7"/>
  <c r="K61" i="7" s="1"/>
  <c r="J62" i="7"/>
  <c r="L59" i="7"/>
  <c r="K59" i="7"/>
  <c r="J59" i="7"/>
  <c r="L58" i="7"/>
  <c r="K58" i="7"/>
  <c r="J58" i="7"/>
  <c r="L57" i="7"/>
  <c r="L56" i="7" s="1"/>
  <c r="K57" i="7"/>
  <c r="K56" i="7" s="1"/>
  <c r="J57" i="7"/>
  <c r="L55" i="7"/>
  <c r="K55" i="7"/>
  <c r="J55" i="7"/>
  <c r="L54" i="7"/>
  <c r="K54" i="7"/>
  <c r="J54" i="7"/>
  <c r="L53" i="7"/>
  <c r="L51" i="7" s="1"/>
  <c r="K53" i="7"/>
  <c r="J53" i="7"/>
  <c r="L52" i="7"/>
  <c r="K52" i="7"/>
  <c r="J52" i="7"/>
  <c r="L50" i="7"/>
  <c r="K50" i="7"/>
  <c r="K47" i="7" s="1"/>
  <c r="J50" i="7"/>
  <c r="J47" i="7" s="1"/>
  <c r="L49" i="7"/>
  <c r="K49" i="7"/>
  <c r="J49" i="7"/>
  <c r="L48" i="7"/>
  <c r="K48" i="7"/>
  <c r="J48" i="7"/>
  <c r="L46" i="7"/>
  <c r="K46" i="7"/>
  <c r="J46" i="7"/>
  <c r="L45" i="7"/>
  <c r="K45" i="7"/>
  <c r="J45" i="7"/>
  <c r="L44" i="7"/>
  <c r="K44" i="7"/>
  <c r="J44" i="7"/>
  <c r="L43" i="7"/>
  <c r="L38" i="7" s="1"/>
  <c r="K43" i="7"/>
  <c r="J43" i="7"/>
  <c r="L42" i="7"/>
  <c r="K42" i="7"/>
  <c r="J42" i="7"/>
  <c r="L41" i="7"/>
  <c r="K41" i="7"/>
  <c r="K38" i="7" s="1"/>
  <c r="J41" i="7"/>
  <c r="J38" i="7" s="1"/>
  <c r="L40" i="7"/>
  <c r="K40" i="7"/>
  <c r="J40" i="7"/>
  <c r="L39" i="7"/>
  <c r="K39" i="7"/>
  <c r="J39" i="7"/>
  <c r="L37" i="7"/>
  <c r="K37" i="7"/>
  <c r="J37" i="7"/>
  <c r="L36" i="7"/>
  <c r="K36" i="7"/>
  <c r="J36" i="7"/>
  <c r="L35" i="7"/>
  <c r="K35" i="7"/>
  <c r="J35" i="7"/>
  <c r="L34" i="7"/>
  <c r="L30" i="7" s="1"/>
  <c r="K34" i="7"/>
  <c r="J34" i="7"/>
  <c r="L33" i="7"/>
  <c r="K33" i="7"/>
  <c r="J33" i="7"/>
  <c r="L32" i="7"/>
  <c r="K32" i="7"/>
  <c r="K30" i="7" s="1"/>
  <c r="J32" i="7"/>
  <c r="J30" i="7" s="1"/>
  <c r="L31" i="7"/>
  <c r="K31" i="7"/>
  <c r="J31" i="7"/>
  <c r="L28" i="7"/>
  <c r="K28" i="7"/>
  <c r="J28" i="7"/>
  <c r="L27" i="7"/>
  <c r="K27" i="7"/>
  <c r="J27" i="7"/>
  <c r="L26" i="7"/>
  <c r="K26" i="7"/>
  <c r="J26" i="7"/>
  <c r="L25" i="7"/>
  <c r="K25" i="7"/>
  <c r="J25" i="7"/>
  <c r="J23" i="7" s="1"/>
  <c r="L24" i="7"/>
  <c r="L23" i="7" s="1"/>
  <c r="K24" i="7"/>
  <c r="J24" i="7"/>
  <c r="L22" i="7"/>
  <c r="K22" i="7"/>
  <c r="J22" i="7"/>
  <c r="L21" i="7"/>
  <c r="K21" i="7"/>
  <c r="K20" i="7" s="1"/>
  <c r="J21" i="7"/>
  <c r="J20" i="7" s="1"/>
  <c r="L19" i="7"/>
  <c r="K19" i="7"/>
  <c r="J19" i="7"/>
  <c r="J17" i="7" s="1"/>
  <c r="L18" i="7"/>
  <c r="K18" i="7"/>
  <c r="J18" i="7"/>
  <c r="L16" i="7"/>
  <c r="K16" i="7"/>
  <c r="J16" i="7"/>
  <c r="L15" i="7"/>
  <c r="K15" i="7"/>
  <c r="K14" i="7" s="1"/>
  <c r="J15" i="7"/>
  <c r="L13" i="7"/>
  <c r="K13" i="7"/>
  <c r="J13" i="7"/>
  <c r="J11" i="7" s="1"/>
  <c r="L12" i="7"/>
  <c r="K12" i="7"/>
  <c r="J12" i="7"/>
  <c r="I10" i="7"/>
  <c r="H288" i="7"/>
  <c r="G288" i="7"/>
  <c r="H287" i="7"/>
  <c r="G287" i="7"/>
  <c r="H281" i="7"/>
  <c r="G248" i="7"/>
  <c r="H234" i="7"/>
  <c r="G234" i="7"/>
  <c r="H219" i="7"/>
  <c r="G219" i="7"/>
  <c r="G202" i="7"/>
  <c r="F248" i="7"/>
  <c r="F219" i="7"/>
  <c r="F188" i="7"/>
  <c r="F185" i="7"/>
  <c r="F184" i="7"/>
  <c r="F182" i="7"/>
  <c r="F181" i="7"/>
  <c r="F180" i="7"/>
  <c r="F179" i="7" s="1"/>
  <c r="F178" i="7"/>
  <c r="F176" i="7" s="1"/>
  <c r="F177" i="7"/>
  <c r="F175" i="7"/>
  <c r="F173" i="7"/>
  <c r="F171" i="7"/>
  <c r="F170" i="7"/>
  <c r="F169" i="7"/>
  <c r="F168" i="7"/>
  <c r="F167" i="7"/>
  <c r="F166" i="7" s="1"/>
  <c r="F164" i="7"/>
  <c r="F163" i="7"/>
  <c r="F161" i="7"/>
  <c r="F159" i="7"/>
  <c r="F158" i="7"/>
  <c r="F156" i="7"/>
  <c r="F155" i="7"/>
  <c r="F154" i="7" s="1"/>
  <c r="F153" i="7"/>
  <c r="F152" i="7"/>
  <c r="F149" i="7"/>
  <c r="F148" i="7"/>
  <c r="F147" i="7"/>
  <c r="F146" i="7"/>
  <c r="F145" i="7"/>
  <c r="F143" i="7"/>
  <c r="F142" i="7" s="1"/>
  <c r="F141" i="7"/>
  <c r="F139" i="7"/>
  <c r="F138" i="7"/>
  <c r="F137" i="7"/>
  <c r="F136" i="7"/>
  <c r="F135" i="7"/>
  <c r="F134" i="7"/>
  <c r="F131" i="7"/>
  <c r="F129" i="7"/>
  <c r="F127" i="7"/>
  <c r="F125" i="7"/>
  <c r="F123" i="7"/>
  <c r="F122" i="7" s="1"/>
  <c r="F120" i="7"/>
  <c r="F118" i="7"/>
  <c r="F116" i="7"/>
  <c r="F115" i="7" s="1"/>
  <c r="F114" i="7"/>
  <c r="F111" i="7"/>
  <c r="F110" i="7"/>
  <c r="F109" i="7"/>
  <c r="F108" i="7"/>
  <c r="F107" i="7"/>
  <c r="F106" i="7"/>
  <c r="F105" i="7"/>
  <c r="F104" i="7"/>
  <c r="F103" i="7" s="1"/>
  <c r="F102" i="7"/>
  <c r="F101" i="7"/>
  <c r="F100" i="7"/>
  <c r="F99" i="7"/>
  <c r="F98" i="7"/>
  <c r="F97" i="7"/>
  <c r="F95" i="7"/>
  <c r="F94" i="7"/>
  <c r="F89" i="7" s="1"/>
  <c r="F93" i="7"/>
  <c r="F92" i="7"/>
  <c r="F91" i="7"/>
  <c r="F90" i="7"/>
  <c r="F88" i="7"/>
  <c r="F86" i="7"/>
  <c r="F85" i="7"/>
  <c r="F84" i="7"/>
  <c r="F83" i="7" s="1"/>
  <c r="F82" i="7"/>
  <c r="F81" i="7"/>
  <c r="F80" i="7"/>
  <c r="F79" i="7"/>
  <c r="F78" i="7"/>
  <c r="F76" i="7"/>
  <c r="F75" i="7"/>
  <c r="F74" i="7"/>
  <c r="F73" i="7"/>
  <c r="F72" i="7"/>
  <c r="F71" i="7"/>
  <c r="F69" i="7"/>
  <c r="F68" i="7"/>
  <c r="F67" i="7"/>
  <c r="F66" i="7"/>
  <c r="F65" i="7"/>
  <c r="F61" i="7" s="1"/>
  <c r="F64" i="7"/>
  <c r="F63" i="7"/>
  <c r="F62" i="7"/>
  <c r="F59" i="7"/>
  <c r="F58" i="7"/>
  <c r="F57" i="7"/>
  <c r="F55" i="7"/>
  <c r="F54" i="7"/>
  <c r="F53" i="7"/>
  <c r="F52" i="7"/>
  <c r="F51" i="7" s="1"/>
  <c r="F50" i="7"/>
  <c r="F49" i="7"/>
  <c r="F48" i="7"/>
  <c r="F46" i="7"/>
  <c r="F45" i="7"/>
  <c r="F44" i="7"/>
  <c r="F43" i="7"/>
  <c r="F42" i="7"/>
  <c r="F38" i="7" s="1"/>
  <c r="F41" i="7"/>
  <c r="F40" i="7"/>
  <c r="F39" i="7"/>
  <c r="F37" i="7"/>
  <c r="F36" i="7"/>
  <c r="F35" i="7"/>
  <c r="F34" i="7"/>
  <c r="F33" i="7"/>
  <c r="F30" i="7" s="1"/>
  <c r="F29" i="7" s="1"/>
  <c r="I29" i="7" s="1"/>
  <c r="F32" i="7"/>
  <c r="F31" i="7"/>
  <c r="F28" i="7"/>
  <c r="F27" i="7"/>
  <c r="F26" i="7"/>
  <c r="F25" i="7"/>
  <c r="F24" i="7"/>
  <c r="F22" i="7"/>
  <c r="F20" i="7" s="1"/>
  <c r="F21" i="7"/>
  <c r="F19" i="7"/>
  <c r="F18" i="7"/>
  <c r="F288" i="7"/>
  <c r="I288" i="7" s="1"/>
  <c r="I289" i="7" s="1"/>
  <c r="F287" i="7"/>
  <c r="P188" i="7"/>
  <c r="O188" i="7"/>
  <c r="N188" i="7"/>
  <c r="Q188" i="7" s="1"/>
  <c r="Q189" i="7" s="1"/>
  <c r="K189" i="7"/>
  <c r="J189" i="7"/>
  <c r="I188" i="7"/>
  <c r="P112" i="7"/>
  <c r="L122" i="7"/>
  <c r="H188" i="7"/>
  <c r="G188" i="7"/>
  <c r="H186" i="7"/>
  <c r="G186" i="7"/>
  <c r="H185" i="7"/>
  <c r="G185" i="7"/>
  <c r="H184" i="7"/>
  <c r="H183" i="7" s="1"/>
  <c r="G184" i="7"/>
  <c r="G183" i="7" s="1"/>
  <c r="H182" i="7"/>
  <c r="G182" i="7"/>
  <c r="H181" i="7"/>
  <c r="G181" i="7"/>
  <c r="H180" i="7"/>
  <c r="G180" i="7"/>
  <c r="H178" i="7"/>
  <c r="G178" i="7"/>
  <c r="G176" i="7" s="1"/>
  <c r="H177" i="7"/>
  <c r="G177" i="7"/>
  <c r="H175" i="7"/>
  <c r="G175" i="7"/>
  <c r="H173" i="7"/>
  <c r="G173" i="7"/>
  <c r="H171" i="7"/>
  <c r="G171" i="7"/>
  <c r="H170" i="7"/>
  <c r="G170" i="7"/>
  <c r="H169" i="7"/>
  <c r="G169" i="7"/>
  <c r="H168" i="7"/>
  <c r="G168" i="7"/>
  <c r="H167" i="7"/>
  <c r="H166" i="7" s="1"/>
  <c r="H165" i="7" s="1"/>
  <c r="G167" i="7"/>
  <c r="G166" i="7" s="1"/>
  <c r="G165" i="7" s="1"/>
  <c r="H164" i="7"/>
  <c r="G164" i="7"/>
  <c r="H163" i="7"/>
  <c r="G163" i="7"/>
  <c r="H161" i="7"/>
  <c r="G161" i="7"/>
  <c r="H159" i="7"/>
  <c r="H157" i="7" s="1"/>
  <c r="G159" i="7"/>
  <c r="G157" i="7" s="1"/>
  <c r="H158" i="7"/>
  <c r="G158" i="7"/>
  <c r="H156" i="7"/>
  <c r="G156" i="7"/>
  <c r="H155" i="7"/>
  <c r="G155" i="7"/>
  <c r="H153" i="7"/>
  <c r="H151" i="7" s="1"/>
  <c r="H150" i="7" s="1"/>
  <c r="G153" i="7"/>
  <c r="G151" i="7" s="1"/>
  <c r="H152" i="7"/>
  <c r="G152" i="7"/>
  <c r="H149" i="7"/>
  <c r="G149" i="7"/>
  <c r="H148" i="7"/>
  <c r="G148" i="7"/>
  <c r="H147" i="7"/>
  <c r="H144" i="7" s="1"/>
  <c r="G147" i="7"/>
  <c r="G144" i="7" s="1"/>
  <c r="H146" i="7"/>
  <c r="G146" i="7"/>
  <c r="H145" i="7"/>
  <c r="G145" i="7"/>
  <c r="H143" i="7"/>
  <c r="G143" i="7"/>
  <c r="H141" i="7"/>
  <c r="G141" i="7"/>
  <c r="G140" i="7" s="1"/>
  <c r="H139" i="7"/>
  <c r="G139" i="7"/>
  <c r="H138" i="7"/>
  <c r="G138" i="7"/>
  <c r="H137" i="7"/>
  <c r="G137" i="7"/>
  <c r="H136" i="7"/>
  <c r="H133" i="7" s="1"/>
  <c r="H132" i="7" s="1"/>
  <c r="G136" i="7"/>
  <c r="G133" i="7" s="1"/>
  <c r="G132" i="7" s="1"/>
  <c r="H135" i="7"/>
  <c r="G135" i="7"/>
  <c r="H134" i="7"/>
  <c r="G134" i="7"/>
  <c r="H131" i="7"/>
  <c r="G131" i="7"/>
  <c r="H129" i="7"/>
  <c r="G129" i="7"/>
  <c r="H127" i="7"/>
  <c r="G127" i="7"/>
  <c r="H125" i="7"/>
  <c r="G125" i="7"/>
  <c r="H123" i="7"/>
  <c r="G123" i="7"/>
  <c r="H120" i="7"/>
  <c r="G120" i="7"/>
  <c r="H118" i="7"/>
  <c r="G118" i="7"/>
  <c r="H116" i="7"/>
  <c r="H115" i="7" s="1"/>
  <c r="G116" i="7"/>
  <c r="H114" i="7"/>
  <c r="G114" i="7"/>
  <c r="H111" i="7"/>
  <c r="G111" i="7"/>
  <c r="H110" i="7"/>
  <c r="G110" i="7"/>
  <c r="H109" i="7"/>
  <c r="G109" i="7"/>
  <c r="H108" i="7"/>
  <c r="G108" i="7"/>
  <c r="H107" i="7"/>
  <c r="G107" i="7"/>
  <c r="H106" i="7"/>
  <c r="G106" i="7"/>
  <c r="H105" i="7"/>
  <c r="H103" i="7" s="1"/>
  <c r="G105" i="7"/>
  <c r="H104" i="7"/>
  <c r="G104" i="7"/>
  <c r="H102" i="7"/>
  <c r="G102" i="7"/>
  <c r="H101" i="7"/>
  <c r="G101" i="7"/>
  <c r="H100" i="7"/>
  <c r="H96" i="7" s="1"/>
  <c r="G100" i="7"/>
  <c r="H99" i="7"/>
  <c r="G99" i="7"/>
  <c r="H98" i="7"/>
  <c r="G98" i="7"/>
  <c r="H97" i="7"/>
  <c r="G97" i="7"/>
  <c r="H95" i="7"/>
  <c r="G95" i="7"/>
  <c r="H94" i="7"/>
  <c r="G94" i="7"/>
  <c r="H93" i="7"/>
  <c r="G93" i="7"/>
  <c r="H92" i="7"/>
  <c r="G92" i="7"/>
  <c r="H91" i="7"/>
  <c r="H89" i="7" s="1"/>
  <c r="G91" i="7"/>
  <c r="H90" i="7"/>
  <c r="G90" i="7"/>
  <c r="H88" i="7"/>
  <c r="G88" i="7"/>
  <c r="H86" i="7"/>
  <c r="G86" i="7"/>
  <c r="H85" i="7"/>
  <c r="H83" i="7" s="1"/>
  <c r="G85" i="7"/>
  <c r="H84" i="7"/>
  <c r="G84" i="7"/>
  <c r="H82" i="7"/>
  <c r="G82" i="7"/>
  <c r="H81" i="7"/>
  <c r="G81" i="7"/>
  <c r="H80" i="7"/>
  <c r="H77" i="7" s="1"/>
  <c r="G80" i="7"/>
  <c r="H79" i="7"/>
  <c r="G79" i="7"/>
  <c r="H78" i="7"/>
  <c r="G78" i="7"/>
  <c r="H76" i="7"/>
  <c r="G76" i="7"/>
  <c r="H75" i="7"/>
  <c r="G75" i="7"/>
  <c r="H74" i="7"/>
  <c r="G74" i="7"/>
  <c r="H73" i="7"/>
  <c r="G73" i="7"/>
  <c r="H72" i="7"/>
  <c r="G72" i="7"/>
  <c r="H71" i="7"/>
  <c r="H70" i="7" s="1"/>
  <c r="G71" i="7"/>
  <c r="H69" i="7"/>
  <c r="G69" i="7"/>
  <c r="H68" i="7"/>
  <c r="G68" i="7"/>
  <c r="H67" i="7"/>
  <c r="G67" i="7"/>
  <c r="H66" i="7"/>
  <c r="G66" i="7"/>
  <c r="H65" i="7"/>
  <c r="G65" i="7"/>
  <c r="H64" i="7"/>
  <c r="G64" i="7"/>
  <c r="H63" i="7"/>
  <c r="G63" i="7"/>
  <c r="H62" i="7"/>
  <c r="H61" i="7" s="1"/>
  <c r="G62" i="7"/>
  <c r="H59" i="7"/>
  <c r="G59" i="7"/>
  <c r="H58" i="7"/>
  <c r="G58" i="7"/>
  <c r="H57" i="7"/>
  <c r="G57" i="7"/>
  <c r="H55" i="7"/>
  <c r="G55" i="7"/>
  <c r="H54" i="7"/>
  <c r="G54" i="7"/>
  <c r="H53" i="7"/>
  <c r="G53" i="7"/>
  <c r="H52" i="7"/>
  <c r="H51" i="7" s="1"/>
  <c r="G52" i="7"/>
  <c r="H50" i="7"/>
  <c r="G50" i="7"/>
  <c r="H49" i="7"/>
  <c r="G49" i="7"/>
  <c r="H48" i="7"/>
  <c r="H47" i="7" s="1"/>
  <c r="G48" i="7"/>
  <c r="H46" i="7"/>
  <c r="G46" i="7"/>
  <c r="H45" i="7"/>
  <c r="G45" i="7"/>
  <c r="H44" i="7"/>
  <c r="G44" i="7"/>
  <c r="H43" i="7"/>
  <c r="G43" i="7"/>
  <c r="H42" i="7"/>
  <c r="G42" i="7"/>
  <c r="H41" i="7"/>
  <c r="G41" i="7"/>
  <c r="H40" i="7"/>
  <c r="G40" i="7"/>
  <c r="H39" i="7"/>
  <c r="G39" i="7"/>
  <c r="G38" i="7" s="1"/>
  <c r="H36" i="7"/>
  <c r="G36" i="7"/>
  <c r="H37" i="7"/>
  <c r="G37" i="7"/>
  <c r="H35" i="7"/>
  <c r="G35" i="7"/>
  <c r="H34" i="7"/>
  <c r="G34" i="7"/>
  <c r="H33" i="7"/>
  <c r="G33" i="7"/>
  <c r="H32" i="7"/>
  <c r="G32" i="7"/>
  <c r="H31" i="7"/>
  <c r="H30" i="7" s="1"/>
  <c r="G31" i="7"/>
  <c r="H28" i="7"/>
  <c r="G28" i="7"/>
  <c r="H27" i="7"/>
  <c r="G27" i="7"/>
  <c r="H26" i="7"/>
  <c r="G26" i="7"/>
  <c r="H25" i="7"/>
  <c r="H23" i="7" s="1"/>
  <c r="G25" i="7"/>
  <c r="H24" i="7"/>
  <c r="G24" i="7"/>
  <c r="G23" i="7" s="1"/>
  <c r="H22" i="7"/>
  <c r="G22" i="7"/>
  <c r="H21" i="7"/>
  <c r="G21" i="7"/>
  <c r="H19" i="7"/>
  <c r="H17" i="7" s="1"/>
  <c r="G19" i="7"/>
  <c r="H18" i="7"/>
  <c r="G18" i="7"/>
  <c r="H16" i="7"/>
  <c r="G16" i="7"/>
  <c r="F16" i="7"/>
  <c r="H15" i="7"/>
  <c r="G15" i="7"/>
  <c r="F15" i="7"/>
  <c r="H13" i="7"/>
  <c r="G13" i="7"/>
  <c r="F13" i="7"/>
  <c r="H12" i="7"/>
  <c r="G12" i="7"/>
  <c r="F12" i="7"/>
  <c r="G222" i="7"/>
  <c r="H222" i="7"/>
  <c r="H210" i="7"/>
  <c r="H209" i="7" s="1"/>
  <c r="H206" i="7"/>
  <c r="G206" i="7"/>
  <c r="H204" i="7"/>
  <c r="H202" i="7"/>
  <c r="G199" i="7"/>
  <c r="G289" i="7"/>
  <c r="H289" i="7"/>
  <c r="G189" i="7"/>
  <c r="H189" i="7"/>
  <c r="G179" i="7"/>
  <c r="H179" i="7"/>
  <c r="H176" i="7"/>
  <c r="G174" i="7"/>
  <c r="H174" i="7"/>
  <c r="G172" i="7"/>
  <c r="H172" i="7"/>
  <c r="G162" i="7"/>
  <c r="H162" i="7"/>
  <c r="G160" i="7"/>
  <c r="H160" i="7"/>
  <c r="G154" i="7"/>
  <c r="H154" i="7"/>
  <c r="G142" i="7"/>
  <c r="H142" i="7"/>
  <c r="H140" i="7"/>
  <c r="G130" i="7"/>
  <c r="H130" i="7"/>
  <c r="G128" i="7"/>
  <c r="H128" i="7"/>
  <c r="G126" i="7"/>
  <c r="H126" i="7"/>
  <c r="G124" i="7"/>
  <c r="H124" i="7"/>
  <c r="G122" i="7"/>
  <c r="H122" i="7"/>
  <c r="G121" i="7"/>
  <c r="G119" i="7"/>
  <c r="H119" i="7"/>
  <c r="G117" i="7"/>
  <c r="H117" i="7"/>
  <c r="G115" i="7"/>
  <c r="G112" i="7" s="1"/>
  <c r="G113" i="7"/>
  <c r="H113" i="7"/>
  <c r="H112" i="7" s="1"/>
  <c r="G103" i="7"/>
  <c r="G96" i="7"/>
  <c r="G89" i="7"/>
  <c r="G87" i="7"/>
  <c r="H87" i="7"/>
  <c r="G83" i="7"/>
  <c r="G77" i="7"/>
  <c r="G60" i="7" s="1"/>
  <c r="G70" i="7"/>
  <c r="G61" i="7"/>
  <c r="G56" i="7"/>
  <c r="H56" i="7"/>
  <c r="G51" i="7"/>
  <c r="G47" i="7"/>
  <c r="H38" i="7"/>
  <c r="G30" i="7"/>
  <c r="G20" i="7"/>
  <c r="H20" i="7"/>
  <c r="G17" i="7"/>
  <c r="G14" i="7"/>
  <c r="H14" i="7"/>
  <c r="F11" i="7"/>
  <c r="F289" i="7"/>
  <c r="F189" i="7"/>
  <c r="I189" i="7" s="1"/>
  <c r="F241" i="7"/>
  <c r="F157" i="7"/>
  <c r="F151" i="7"/>
  <c r="F140" i="7"/>
  <c r="F133" i="7"/>
  <c r="F77" i="7"/>
  <c r="F47" i="7"/>
  <c r="F14" i="7"/>
  <c r="Q289" i="7"/>
  <c r="P289" i="7"/>
  <c r="O289" i="7"/>
  <c r="N289" i="7"/>
  <c r="P281" i="7"/>
  <c r="N281" i="7"/>
  <c r="O273" i="7"/>
  <c r="P264" i="7"/>
  <c r="O255" i="7"/>
  <c r="P248" i="7"/>
  <c r="O241" i="7"/>
  <c r="P234" i="7"/>
  <c r="O225" i="7"/>
  <c r="O224" i="7" s="1"/>
  <c r="P222" i="7"/>
  <c r="O222" i="7"/>
  <c r="P219" i="7"/>
  <c r="O219" i="7"/>
  <c r="N219" i="7"/>
  <c r="P210" i="7"/>
  <c r="P209" i="7" s="1"/>
  <c r="P206" i="7"/>
  <c r="N206" i="7"/>
  <c r="P204" i="7"/>
  <c r="O204" i="7"/>
  <c r="N204" i="7"/>
  <c r="O202" i="7"/>
  <c r="N202" i="7"/>
  <c r="P199" i="7"/>
  <c r="O199" i="7"/>
  <c r="P196" i="7"/>
  <c r="O196" i="7"/>
  <c r="N196" i="7"/>
  <c r="P189" i="7"/>
  <c r="O189" i="7"/>
  <c r="N189" i="7"/>
  <c r="P183" i="7"/>
  <c r="O183" i="7"/>
  <c r="P179" i="7"/>
  <c r="N179" i="7"/>
  <c r="O176" i="7"/>
  <c r="N176" i="7"/>
  <c r="P174" i="7"/>
  <c r="O174" i="7"/>
  <c r="N174" i="7"/>
  <c r="P172" i="7"/>
  <c r="O172" i="7"/>
  <c r="P165" i="7"/>
  <c r="Q165" i="7" s="1"/>
  <c r="N166" i="7"/>
  <c r="N165" i="7" s="1"/>
  <c r="O162" i="7"/>
  <c r="N162" i="7"/>
  <c r="P160" i="7"/>
  <c r="O160" i="7"/>
  <c r="P157" i="7"/>
  <c r="O157" i="7"/>
  <c r="N157" i="7"/>
  <c r="P154" i="7"/>
  <c r="N154" i="7"/>
  <c r="O151" i="7"/>
  <c r="O150" i="7" s="1"/>
  <c r="N151" i="7"/>
  <c r="N150" i="7" s="1"/>
  <c r="P144" i="7"/>
  <c r="P142" i="7"/>
  <c r="O142" i="7"/>
  <c r="N142" i="7"/>
  <c r="P140" i="7"/>
  <c r="O140" i="7"/>
  <c r="N140" i="7"/>
  <c r="O133" i="7"/>
  <c r="P130" i="7"/>
  <c r="O130" i="7"/>
  <c r="N130" i="7"/>
  <c r="P128" i="7"/>
  <c r="O128" i="7"/>
  <c r="N128" i="7"/>
  <c r="O126" i="7"/>
  <c r="N126" i="7"/>
  <c r="P124" i="7"/>
  <c r="O124" i="7"/>
  <c r="N124" i="7"/>
  <c r="P122" i="7"/>
  <c r="P121" i="7" s="1"/>
  <c r="O122" i="7"/>
  <c r="O121" i="7" s="1"/>
  <c r="P119" i="7"/>
  <c r="O119" i="7"/>
  <c r="N119" i="7"/>
  <c r="P117" i="7"/>
  <c r="O117" i="7"/>
  <c r="N117" i="7"/>
  <c r="P115" i="7"/>
  <c r="O115" i="7"/>
  <c r="N115" i="7"/>
  <c r="P113" i="7"/>
  <c r="O113" i="7"/>
  <c r="O112" i="7" s="1"/>
  <c r="N113" i="7"/>
  <c r="N112" i="7" s="1"/>
  <c r="O103" i="7"/>
  <c r="O96" i="7"/>
  <c r="O89" i="7"/>
  <c r="P87" i="7"/>
  <c r="O87" i="7"/>
  <c r="N87" i="7"/>
  <c r="P83" i="7"/>
  <c r="O83" i="7"/>
  <c r="N83" i="7"/>
  <c r="O77" i="7"/>
  <c r="O70" i="7"/>
  <c r="N70" i="7"/>
  <c r="P56" i="7"/>
  <c r="O56" i="7"/>
  <c r="N51" i="7"/>
  <c r="P47" i="7"/>
  <c r="O47" i="7"/>
  <c r="O30" i="7"/>
  <c r="O29" i="7" s="1"/>
  <c r="P23" i="7"/>
  <c r="N23" i="7"/>
  <c r="O20" i="7"/>
  <c r="N20" i="7"/>
  <c r="P17" i="7"/>
  <c r="O17" i="7"/>
  <c r="P14" i="7"/>
  <c r="O14" i="7"/>
  <c r="N14" i="7"/>
  <c r="P11" i="7"/>
  <c r="O11" i="7"/>
  <c r="K289" i="7"/>
  <c r="J289" i="7"/>
  <c r="L281" i="7"/>
  <c r="L264" i="7"/>
  <c r="L248" i="7"/>
  <c r="L234" i="7"/>
  <c r="L222" i="7"/>
  <c r="K222" i="7"/>
  <c r="K219" i="7"/>
  <c r="J219" i="7"/>
  <c r="L210" i="7"/>
  <c r="L206" i="7"/>
  <c r="L204" i="7"/>
  <c r="K204" i="7"/>
  <c r="J204" i="7"/>
  <c r="J202" i="7"/>
  <c r="L199" i="7"/>
  <c r="K199" i="7"/>
  <c r="K196" i="7"/>
  <c r="J196" i="7"/>
  <c r="L189" i="7"/>
  <c r="L183" i="7"/>
  <c r="J183" i="7"/>
  <c r="K179" i="7"/>
  <c r="J179" i="7"/>
  <c r="L176" i="7"/>
  <c r="K176" i="7"/>
  <c r="L174" i="7"/>
  <c r="K174" i="7"/>
  <c r="J174" i="7"/>
  <c r="L172" i="7"/>
  <c r="J172" i="7"/>
  <c r="K166" i="7"/>
  <c r="L162" i="7"/>
  <c r="K162" i="7"/>
  <c r="L160" i="7"/>
  <c r="K160" i="7"/>
  <c r="J160" i="7"/>
  <c r="L157" i="7"/>
  <c r="J157" i="7"/>
  <c r="K154" i="7"/>
  <c r="J154" i="7"/>
  <c r="L151" i="7"/>
  <c r="L150" i="7" s="1"/>
  <c r="K151" i="7"/>
  <c r="K144" i="7"/>
  <c r="J144" i="7"/>
  <c r="L142" i="7"/>
  <c r="K142" i="7"/>
  <c r="J142" i="7"/>
  <c r="L140" i="7"/>
  <c r="K140" i="7"/>
  <c r="L133" i="7"/>
  <c r="L132" i="7" s="1"/>
  <c r="K130" i="7"/>
  <c r="J130" i="7"/>
  <c r="L128" i="7"/>
  <c r="K128" i="7"/>
  <c r="L126" i="7"/>
  <c r="K126" i="7"/>
  <c r="L124" i="7"/>
  <c r="K124" i="7"/>
  <c r="J124" i="7"/>
  <c r="J122" i="7"/>
  <c r="L119" i="7"/>
  <c r="K119" i="7"/>
  <c r="J119" i="7"/>
  <c r="L117" i="7"/>
  <c r="K117" i="7"/>
  <c r="J117" i="7"/>
  <c r="K115" i="7"/>
  <c r="K112" i="7" s="1"/>
  <c r="J115" i="7"/>
  <c r="K113" i="7"/>
  <c r="J113" i="7"/>
  <c r="J112" i="7" s="1"/>
  <c r="L103" i="7"/>
  <c r="J96" i="7"/>
  <c r="L89" i="7"/>
  <c r="L87" i="7"/>
  <c r="K87" i="7"/>
  <c r="J87" i="7"/>
  <c r="L83" i="7"/>
  <c r="K83" i="7"/>
  <c r="L77" i="7"/>
  <c r="J77" i="7"/>
  <c r="L70" i="7"/>
  <c r="J56" i="7"/>
  <c r="K51" i="7"/>
  <c r="J51" i="7"/>
  <c r="L47" i="7"/>
  <c r="K23" i="7"/>
  <c r="L20" i="7"/>
  <c r="L17" i="7"/>
  <c r="K17" i="7"/>
  <c r="L14" i="7"/>
  <c r="J14" i="7"/>
  <c r="L11" i="7"/>
  <c r="K11" i="7"/>
  <c r="F281" i="7"/>
  <c r="F222" i="7"/>
  <c r="F206" i="7"/>
  <c r="F204" i="7"/>
  <c r="F202" i="7"/>
  <c r="F199" i="7"/>
  <c r="F183" i="7"/>
  <c r="F174" i="7"/>
  <c r="F172" i="7"/>
  <c r="F162" i="7"/>
  <c r="F160" i="7"/>
  <c r="F144" i="7"/>
  <c r="F130" i="7"/>
  <c r="F128" i="7"/>
  <c r="F126" i="7"/>
  <c r="F124" i="7"/>
  <c r="F119" i="7"/>
  <c r="F117" i="7"/>
  <c r="F113" i="7"/>
  <c r="F96" i="7"/>
  <c r="F87" i="7"/>
  <c r="F70" i="7"/>
  <c r="F56" i="7"/>
  <c r="F23" i="7"/>
  <c r="F17" i="7"/>
  <c r="F10" i="7" s="1"/>
  <c r="L288" i="6"/>
  <c r="K288" i="6"/>
  <c r="N288" i="6" s="1"/>
  <c r="J288" i="6"/>
  <c r="I288" i="6"/>
  <c r="H288" i="6"/>
  <c r="G288" i="6"/>
  <c r="F288" i="6"/>
  <c r="M287" i="6"/>
  <c r="M286" i="6"/>
  <c r="M288" i="6" s="1"/>
  <c r="N284" i="6"/>
  <c r="M284" i="6"/>
  <c r="N283" i="6"/>
  <c r="M283" i="6"/>
  <c r="N282" i="6"/>
  <c r="M282" i="6"/>
  <c r="N281" i="6"/>
  <c r="M281" i="6"/>
  <c r="L280" i="6"/>
  <c r="K280" i="6"/>
  <c r="K223" i="6" s="1"/>
  <c r="J280" i="6"/>
  <c r="I280" i="6"/>
  <c r="H280" i="6"/>
  <c r="G280" i="6"/>
  <c r="F280" i="6"/>
  <c r="N279" i="6"/>
  <c r="M279" i="6"/>
  <c r="N278" i="6"/>
  <c r="M278" i="6"/>
  <c r="N277" i="6"/>
  <c r="M277" i="6"/>
  <c r="N276" i="6"/>
  <c r="M276" i="6"/>
  <c r="N275" i="6"/>
  <c r="M275" i="6"/>
  <c r="N274" i="6"/>
  <c r="M274" i="6"/>
  <c r="N273" i="6"/>
  <c r="M273" i="6"/>
  <c r="L272" i="6"/>
  <c r="K272" i="6"/>
  <c r="M272" i="6" s="1"/>
  <c r="J272" i="6"/>
  <c r="I272" i="6"/>
  <c r="H272" i="6"/>
  <c r="G272" i="6"/>
  <c r="F272" i="6"/>
  <c r="N271" i="6"/>
  <c r="M271" i="6"/>
  <c r="N270" i="6"/>
  <c r="M270" i="6"/>
  <c r="N269" i="6"/>
  <c r="M269" i="6"/>
  <c r="N268" i="6"/>
  <c r="M268" i="6"/>
  <c r="N267" i="6"/>
  <c r="M267" i="6"/>
  <c r="N266" i="6"/>
  <c r="M266" i="6"/>
  <c r="N265" i="6"/>
  <c r="M265" i="6"/>
  <c r="N264" i="6"/>
  <c r="M264" i="6"/>
  <c r="L263" i="6"/>
  <c r="K263" i="6"/>
  <c r="M263" i="6" s="1"/>
  <c r="J263" i="6"/>
  <c r="I263" i="6"/>
  <c r="H263" i="6"/>
  <c r="G263" i="6"/>
  <c r="F263" i="6"/>
  <c r="N262" i="6"/>
  <c r="M262" i="6"/>
  <c r="N261" i="6"/>
  <c r="M261" i="6"/>
  <c r="N260" i="6"/>
  <c r="M260" i="6"/>
  <c r="N259" i="6"/>
  <c r="M259" i="6"/>
  <c r="N258" i="6"/>
  <c r="M258" i="6"/>
  <c r="N257" i="6"/>
  <c r="M257" i="6"/>
  <c r="N256" i="6"/>
  <c r="M256" i="6"/>
  <c r="N255" i="6"/>
  <c r="M255" i="6"/>
  <c r="L254" i="6"/>
  <c r="K254" i="6"/>
  <c r="M254" i="6" s="1"/>
  <c r="J254" i="6"/>
  <c r="I254" i="6"/>
  <c r="H254" i="6"/>
  <c r="G254" i="6"/>
  <c r="F254" i="6"/>
  <c r="N253" i="6"/>
  <c r="M253" i="6"/>
  <c r="N252" i="6"/>
  <c r="M252" i="6"/>
  <c r="N251" i="6"/>
  <c r="M251" i="6"/>
  <c r="N250" i="6"/>
  <c r="M250" i="6"/>
  <c r="N249" i="6"/>
  <c r="M249" i="6"/>
  <c r="N248" i="6"/>
  <c r="M248" i="6"/>
  <c r="M247" i="6"/>
  <c r="L247" i="6"/>
  <c r="K247" i="6"/>
  <c r="J247" i="6"/>
  <c r="I247" i="6"/>
  <c r="H247" i="6"/>
  <c r="G247" i="6"/>
  <c r="F247" i="6"/>
  <c r="N246" i="6"/>
  <c r="M246" i="6"/>
  <c r="N245" i="6"/>
  <c r="M245" i="6"/>
  <c r="N244" i="6"/>
  <c r="M244" i="6"/>
  <c r="N243" i="6"/>
  <c r="M243" i="6"/>
  <c r="N242" i="6"/>
  <c r="M242" i="6"/>
  <c r="N241" i="6"/>
  <c r="M241" i="6"/>
  <c r="M240" i="6"/>
  <c r="L240" i="6"/>
  <c r="K240" i="6"/>
  <c r="J240" i="6"/>
  <c r="I240" i="6"/>
  <c r="I223" i="6" s="1"/>
  <c r="H240" i="6"/>
  <c r="G240" i="6"/>
  <c r="F240" i="6"/>
  <c r="N239" i="6"/>
  <c r="M239" i="6"/>
  <c r="N238" i="6"/>
  <c r="M238" i="6"/>
  <c r="N237" i="6"/>
  <c r="M237" i="6"/>
  <c r="N236" i="6"/>
  <c r="M236" i="6"/>
  <c r="N235" i="6"/>
  <c r="M235" i="6"/>
  <c r="N234" i="6"/>
  <c r="M234" i="6"/>
  <c r="M233" i="6"/>
  <c r="L233" i="6"/>
  <c r="K233" i="6"/>
  <c r="J233" i="6"/>
  <c r="I233" i="6"/>
  <c r="H233" i="6"/>
  <c r="G233" i="6"/>
  <c r="F233" i="6"/>
  <c r="N232" i="6"/>
  <c r="M232" i="6"/>
  <c r="N231" i="6"/>
  <c r="M231" i="6"/>
  <c r="N230" i="6"/>
  <c r="M230" i="6"/>
  <c r="N229" i="6"/>
  <c r="M229" i="6"/>
  <c r="N228" i="6"/>
  <c r="M228" i="6"/>
  <c r="N227" i="6"/>
  <c r="M227" i="6"/>
  <c r="N226" i="6"/>
  <c r="M226" i="6"/>
  <c r="N225" i="6"/>
  <c r="M225" i="6"/>
  <c r="M224" i="6"/>
  <c r="L224" i="6"/>
  <c r="K224" i="6"/>
  <c r="J224" i="6"/>
  <c r="I224" i="6"/>
  <c r="H224" i="6"/>
  <c r="G224" i="6"/>
  <c r="F224" i="6"/>
  <c r="L223" i="6"/>
  <c r="J223" i="6"/>
  <c r="H223" i="6"/>
  <c r="G223" i="6"/>
  <c r="F223" i="6"/>
  <c r="N222" i="6"/>
  <c r="M222" i="6"/>
  <c r="L221" i="6"/>
  <c r="K221" i="6"/>
  <c r="M221" i="6" s="1"/>
  <c r="J221" i="6"/>
  <c r="I221" i="6"/>
  <c r="H221" i="6"/>
  <c r="H208" i="6" s="1"/>
  <c r="G221" i="6"/>
  <c r="F221" i="6"/>
  <c r="N220" i="6"/>
  <c r="M220" i="6"/>
  <c r="N219" i="6"/>
  <c r="M219" i="6"/>
  <c r="L218" i="6"/>
  <c r="K218" i="6"/>
  <c r="M218" i="6" s="1"/>
  <c r="J218" i="6"/>
  <c r="I218" i="6"/>
  <c r="H218" i="6"/>
  <c r="G218" i="6"/>
  <c r="F218" i="6"/>
  <c r="N217" i="6"/>
  <c r="M217" i="6"/>
  <c r="N216" i="6"/>
  <c r="M216" i="6"/>
  <c r="N215" i="6"/>
  <c r="M215" i="6"/>
  <c r="N214" i="6"/>
  <c r="M214" i="6"/>
  <c r="N213" i="6"/>
  <c r="M213" i="6"/>
  <c r="N212" i="6"/>
  <c r="M212" i="6"/>
  <c r="N211" i="6"/>
  <c r="M211" i="6"/>
  <c r="N210" i="6"/>
  <c r="M210" i="6"/>
  <c r="L209" i="6"/>
  <c r="L208" i="6" s="1"/>
  <c r="K209" i="6"/>
  <c r="J209" i="6"/>
  <c r="J208" i="6" s="1"/>
  <c r="I209" i="6"/>
  <c r="H209" i="6"/>
  <c r="G209" i="6"/>
  <c r="F209" i="6"/>
  <c r="K208" i="6"/>
  <c r="N208" i="6" s="1"/>
  <c r="I208" i="6"/>
  <c r="G208" i="6"/>
  <c r="F208" i="6"/>
  <c r="N207" i="6"/>
  <c r="M207" i="6"/>
  <c r="N206" i="6"/>
  <c r="M206" i="6"/>
  <c r="L205" i="6"/>
  <c r="K205" i="6"/>
  <c r="M205" i="6" s="1"/>
  <c r="J205" i="6"/>
  <c r="I205" i="6"/>
  <c r="H205" i="6"/>
  <c r="G205" i="6"/>
  <c r="F205" i="6"/>
  <c r="N204" i="6"/>
  <c r="M204" i="6"/>
  <c r="L203" i="6"/>
  <c r="K203" i="6"/>
  <c r="K194" i="6" s="1"/>
  <c r="J203" i="6"/>
  <c r="I203" i="6"/>
  <c r="H203" i="6"/>
  <c r="G203" i="6"/>
  <c r="F203" i="6"/>
  <c r="N202" i="6"/>
  <c r="M202" i="6"/>
  <c r="M201" i="6"/>
  <c r="L201" i="6"/>
  <c r="K201" i="6"/>
  <c r="J201" i="6"/>
  <c r="I201" i="6"/>
  <c r="H201" i="6"/>
  <c r="G201" i="6"/>
  <c r="F201" i="6"/>
  <c r="N200" i="6"/>
  <c r="M200" i="6"/>
  <c r="N199" i="6"/>
  <c r="M199" i="6"/>
  <c r="L198" i="6"/>
  <c r="K198" i="6"/>
  <c r="M198" i="6" s="1"/>
  <c r="J198" i="6"/>
  <c r="I198" i="6"/>
  <c r="I194" i="6" s="1"/>
  <c r="H198" i="6"/>
  <c r="G198" i="6"/>
  <c r="F198" i="6"/>
  <c r="N197" i="6"/>
  <c r="M197" i="6"/>
  <c r="N196" i="6"/>
  <c r="M196" i="6"/>
  <c r="M195" i="6"/>
  <c r="L195" i="6"/>
  <c r="K195" i="6"/>
  <c r="J195" i="6"/>
  <c r="I195" i="6"/>
  <c r="H195" i="6"/>
  <c r="G195" i="6"/>
  <c r="F195" i="6"/>
  <c r="L194" i="6"/>
  <c r="L285" i="6" s="1"/>
  <c r="L289" i="6" s="1"/>
  <c r="J194" i="6"/>
  <c r="H194" i="6"/>
  <c r="H285" i="6" s="1"/>
  <c r="H289" i="6" s="1"/>
  <c r="G194" i="6"/>
  <c r="G285" i="6" s="1"/>
  <c r="G289" i="6" s="1"/>
  <c r="F194" i="6"/>
  <c r="F285" i="6" s="1"/>
  <c r="F289" i="6" s="1"/>
  <c r="L189" i="6"/>
  <c r="K189" i="6"/>
  <c r="N189" i="6" s="1"/>
  <c r="J189" i="6"/>
  <c r="I189" i="6"/>
  <c r="H189" i="6"/>
  <c r="G189" i="6"/>
  <c r="F189" i="6"/>
  <c r="M188" i="6"/>
  <c r="M189" i="6" s="1"/>
  <c r="N186" i="6"/>
  <c r="M186" i="6"/>
  <c r="N185" i="6"/>
  <c r="M185" i="6"/>
  <c r="N184" i="6"/>
  <c r="M184" i="6"/>
  <c r="L183" i="6"/>
  <c r="K183" i="6"/>
  <c r="M183" i="6" s="1"/>
  <c r="J183" i="6"/>
  <c r="I183" i="6"/>
  <c r="H183" i="6"/>
  <c r="G183" i="6"/>
  <c r="F183" i="6"/>
  <c r="N182" i="6"/>
  <c r="M182" i="6"/>
  <c r="N181" i="6"/>
  <c r="M181" i="6"/>
  <c r="N180" i="6"/>
  <c r="M180" i="6"/>
  <c r="L179" i="6"/>
  <c r="K179" i="6"/>
  <c r="M179" i="6" s="1"/>
  <c r="J179" i="6"/>
  <c r="I179" i="6"/>
  <c r="H179" i="6"/>
  <c r="G179" i="6"/>
  <c r="F179" i="6"/>
  <c r="N178" i="6"/>
  <c r="M178" i="6"/>
  <c r="N177" i="6"/>
  <c r="M177" i="6"/>
  <c r="M176" i="6"/>
  <c r="L176" i="6"/>
  <c r="K176" i="6"/>
  <c r="J176" i="6"/>
  <c r="J165" i="6" s="1"/>
  <c r="I176" i="6"/>
  <c r="H176" i="6"/>
  <c r="G176" i="6"/>
  <c r="F176" i="6"/>
  <c r="N175" i="6"/>
  <c r="M175" i="6"/>
  <c r="L174" i="6"/>
  <c r="L165" i="6" s="1"/>
  <c r="K174" i="6"/>
  <c r="M174" i="6" s="1"/>
  <c r="J174" i="6"/>
  <c r="I174" i="6"/>
  <c r="H174" i="6"/>
  <c r="G174" i="6"/>
  <c r="F174" i="6"/>
  <c r="N173" i="6"/>
  <c r="M173" i="6"/>
  <c r="L172" i="6"/>
  <c r="K172" i="6"/>
  <c r="M172" i="6" s="1"/>
  <c r="J172" i="6"/>
  <c r="I172" i="6"/>
  <c r="H172" i="6"/>
  <c r="G172" i="6"/>
  <c r="F172" i="6"/>
  <c r="F165" i="6" s="1"/>
  <c r="N171" i="6"/>
  <c r="M171" i="6"/>
  <c r="N170" i="6"/>
  <c r="M170" i="6"/>
  <c r="N169" i="6"/>
  <c r="M169" i="6"/>
  <c r="N168" i="6"/>
  <c r="M168" i="6"/>
  <c r="N167" i="6"/>
  <c r="M167" i="6"/>
  <c r="L166" i="6"/>
  <c r="K166" i="6"/>
  <c r="M166" i="6" s="1"/>
  <c r="J166" i="6"/>
  <c r="I166" i="6"/>
  <c r="H166" i="6"/>
  <c r="H165" i="6" s="1"/>
  <c r="G166" i="6"/>
  <c r="F166" i="6"/>
  <c r="K165" i="6"/>
  <c r="N165" i="6" s="1"/>
  <c r="I165" i="6"/>
  <c r="G165" i="6"/>
  <c r="N164" i="6"/>
  <c r="M164" i="6"/>
  <c r="N163" i="6"/>
  <c r="M163" i="6"/>
  <c r="M162" i="6"/>
  <c r="L162" i="6"/>
  <c r="K162" i="6"/>
  <c r="J162" i="6"/>
  <c r="I162" i="6"/>
  <c r="H162" i="6"/>
  <c r="G162" i="6"/>
  <c r="F162" i="6"/>
  <c r="N161" i="6"/>
  <c r="M161" i="6"/>
  <c r="L160" i="6"/>
  <c r="K160" i="6"/>
  <c r="M160" i="6" s="1"/>
  <c r="J160" i="6"/>
  <c r="I160" i="6"/>
  <c r="H160" i="6"/>
  <c r="G160" i="6"/>
  <c r="F160" i="6"/>
  <c r="N159" i="6"/>
  <c r="M159" i="6"/>
  <c r="N158" i="6"/>
  <c r="M158" i="6"/>
  <c r="L157" i="6"/>
  <c r="K157" i="6"/>
  <c r="M157" i="6" s="1"/>
  <c r="J157" i="6"/>
  <c r="I157" i="6"/>
  <c r="H157" i="6"/>
  <c r="G157" i="6"/>
  <c r="F157" i="6"/>
  <c r="N156" i="6"/>
  <c r="M156" i="6"/>
  <c r="N155" i="6"/>
  <c r="M155" i="6"/>
  <c r="L154" i="6"/>
  <c r="K154" i="6"/>
  <c r="M154" i="6" s="1"/>
  <c r="J154" i="6"/>
  <c r="I154" i="6"/>
  <c r="H154" i="6"/>
  <c r="G154" i="6"/>
  <c r="G150" i="6" s="1"/>
  <c r="F154" i="6"/>
  <c r="N153" i="6"/>
  <c r="M153" i="6"/>
  <c r="N152" i="6"/>
  <c r="M152" i="6"/>
  <c r="L151" i="6"/>
  <c r="K151" i="6"/>
  <c r="K150" i="6" s="1"/>
  <c r="N150" i="6" s="1"/>
  <c r="J151" i="6"/>
  <c r="I151" i="6"/>
  <c r="H151" i="6"/>
  <c r="G151" i="6"/>
  <c r="F151" i="6"/>
  <c r="L150" i="6"/>
  <c r="J150" i="6"/>
  <c r="I150" i="6"/>
  <c r="H150" i="6"/>
  <c r="F150" i="6"/>
  <c r="N149" i="6"/>
  <c r="M149" i="6"/>
  <c r="N148" i="6"/>
  <c r="M148" i="6"/>
  <c r="N147" i="6"/>
  <c r="M147" i="6"/>
  <c r="N146" i="6"/>
  <c r="M146" i="6"/>
  <c r="N145" i="6"/>
  <c r="M145" i="6"/>
  <c r="L144" i="6"/>
  <c r="K144" i="6"/>
  <c r="M144" i="6" s="1"/>
  <c r="J144" i="6"/>
  <c r="I144" i="6"/>
  <c r="H144" i="6"/>
  <c r="G144" i="6"/>
  <c r="F144" i="6"/>
  <c r="N143" i="6"/>
  <c r="M143" i="6"/>
  <c r="L142" i="6"/>
  <c r="K142" i="6"/>
  <c r="M142" i="6" s="1"/>
  <c r="J142" i="6"/>
  <c r="I142" i="6"/>
  <c r="H142" i="6"/>
  <c r="H132" i="6" s="1"/>
  <c r="G142" i="6"/>
  <c r="F142" i="6"/>
  <c r="N141" i="6"/>
  <c r="M141" i="6"/>
  <c r="L140" i="6"/>
  <c r="K140" i="6"/>
  <c r="M140" i="6" s="1"/>
  <c r="J140" i="6"/>
  <c r="J132" i="6" s="1"/>
  <c r="I140" i="6"/>
  <c r="H140" i="6"/>
  <c r="G140" i="6"/>
  <c r="F140" i="6"/>
  <c r="N139" i="6"/>
  <c r="M139" i="6"/>
  <c r="N138" i="6"/>
  <c r="M138" i="6"/>
  <c r="N137" i="6"/>
  <c r="M137" i="6"/>
  <c r="N136" i="6"/>
  <c r="M136" i="6"/>
  <c r="M135" i="6"/>
  <c r="N134" i="6"/>
  <c r="M134" i="6"/>
  <c r="M133" i="6"/>
  <c r="L133" i="6"/>
  <c r="K133" i="6"/>
  <c r="J133" i="6"/>
  <c r="I133" i="6"/>
  <c r="H133" i="6"/>
  <c r="G133" i="6"/>
  <c r="F133" i="6"/>
  <c r="N132" i="6"/>
  <c r="L132" i="6"/>
  <c r="K132" i="6"/>
  <c r="I132" i="6"/>
  <c r="G132" i="6"/>
  <c r="F132" i="6"/>
  <c r="N131" i="6"/>
  <c r="M131" i="6"/>
  <c r="L130" i="6"/>
  <c r="K130" i="6"/>
  <c r="M130" i="6" s="1"/>
  <c r="J130" i="6"/>
  <c r="I130" i="6"/>
  <c r="H130" i="6"/>
  <c r="G130" i="6"/>
  <c r="F130" i="6"/>
  <c r="N129" i="6"/>
  <c r="M129" i="6"/>
  <c r="L128" i="6"/>
  <c r="K128" i="6"/>
  <c r="M128" i="6" s="1"/>
  <c r="J128" i="6"/>
  <c r="J121" i="6" s="1"/>
  <c r="I128" i="6"/>
  <c r="H128" i="6"/>
  <c r="G128" i="6"/>
  <c r="F128" i="6"/>
  <c r="N127" i="6"/>
  <c r="M127" i="6"/>
  <c r="L126" i="6"/>
  <c r="L121" i="6" s="1"/>
  <c r="K126" i="6"/>
  <c r="M126" i="6" s="1"/>
  <c r="J126" i="6"/>
  <c r="I126" i="6"/>
  <c r="H126" i="6"/>
  <c r="G126" i="6"/>
  <c r="F126" i="6"/>
  <c r="N125" i="6"/>
  <c r="M125" i="6"/>
  <c r="L124" i="6"/>
  <c r="K124" i="6"/>
  <c r="M124" i="6" s="1"/>
  <c r="J124" i="6"/>
  <c r="I124" i="6"/>
  <c r="H124" i="6"/>
  <c r="G124" i="6"/>
  <c r="F124" i="6"/>
  <c r="F121" i="6" s="1"/>
  <c r="N123" i="6"/>
  <c r="M123" i="6"/>
  <c r="L122" i="6"/>
  <c r="K122" i="6"/>
  <c r="M122" i="6" s="1"/>
  <c r="M121" i="6" s="1"/>
  <c r="J122" i="6"/>
  <c r="I122" i="6"/>
  <c r="H122" i="6"/>
  <c r="H121" i="6" s="1"/>
  <c r="G122" i="6"/>
  <c r="F122" i="6"/>
  <c r="K121" i="6"/>
  <c r="N121" i="6" s="1"/>
  <c r="I121" i="6"/>
  <c r="G121" i="6"/>
  <c r="N120" i="6"/>
  <c r="M120" i="6"/>
  <c r="L119" i="6"/>
  <c r="K119" i="6"/>
  <c r="M119" i="6" s="1"/>
  <c r="J119" i="6"/>
  <c r="I119" i="6"/>
  <c r="H119" i="6"/>
  <c r="G119" i="6"/>
  <c r="F119" i="6"/>
  <c r="N118" i="6"/>
  <c r="M118" i="6"/>
  <c r="M117" i="6"/>
  <c r="L117" i="6"/>
  <c r="K117" i="6"/>
  <c r="J117" i="6"/>
  <c r="I117" i="6"/>
  <c r="H117" i="6"/>
  <c r="G117" i="6"/>
  <c r="F117" i="6"/>
  <c r="N116" i="6"/>
  <c r="M116" i="6"/>
  <c r="L115" i="6"/>
  <c r="K115" i="6"/>
  <c r="M115" i="6" s="1"/>
  <c r="J115" i="6"/>
  <c r="I115" i="6"/>
  <c r="H115" i="6"/>
  <c r="G115" i="6"/>
  <c r="G112" i="6" s="1"/>
  <c r="F115" i="6"/>
  <c r="N114" i="6"/>
  <c r="M114" i="6"/>
  <c r="L113" i="6"/>
  <c r="K113" i="6"/>
  <c r="M113" i="6" s="1"/>
  <c r="M112" i="6" s="1"/>
  <c r="J113" i="6"/>
  <c r="I113" i="6"/>
  <c r="I112" i="6" s="1"/>
  <c r="H113" i="6"/>
  <c r="G113" i="6"/>
  <c r="F113" i="6"/>
  <c r="L112" i="6"/>
  <c r="J112" i="6"/>
  <c r="H112" i="6"/>
  <c r="F112" i="6"/>
  <c r="N111" i="6"/>
  <c r="M111" i="6"/>
  <c r="N110" i="6"/>
  <c r="M110" i="6"/>
  <c r="N109" i="6"/>
  <c r="M109" i="6"/>
  <c r="N108" i="6"/>
  <c r="M108" i="6"/>
  <c r="N107" i="6"/>
  <c r="M107" i="6"/>
  <c r="N106" i="6"/>
  <c r="M106" i="6"/>
  <c r="N105" i="6"/>
  <c r="M105" i="6"/>
  <c r="N104" i="6"/>
  <c r="M104" i="6"/>
  <c r="L103" i="6"/>
  <c r="K103" i="6"/>
  <c r="M103" i="6" s="1"/>
  <c r="J103" i="6"/>
  <c r="I103" i="6"/>
  <c r="H103" i="6"/>
  <c r="G103" i="6"/>
  <c r="F103" i="6"/>
  <c r="N102" i="6"/>
  <c r="M102" i="6"/>
  <c r="N101" i="6"/>
  <c r="M101" i="6"/>
  <c r="N100" i="6"/>
  <c r="M100" i="6"/>
  <c r="N99" i="6"/>
  <c r="M99" i="6"/>
  <c r="N98" i="6"/>
  <c r="M98" i="6"/>
  <c r="N97" i="6"/>
  <c r="M97" i="6"/>
  <c r="M96" i="6"/>
  <c r="L96" i="6"/>
  <c r="K96" i="6"/>
  <c r="J96" i="6"/>
  <c r="I96" i="6"/>
  <c r="H96" i="6"/>
  <c r="G96" i="6"/>
  <c r="F96" i="6"/>
  <c r="F60" i="6" s="1"/>
  <c r="N95" i="6"/>
  <c r="M95" i="6"/>
  <c r="N94" i="6"/>
  <c r="M94" i="6"/>
  <c r="N93" i="6"/>
  <c r="M93" i="6"/>
  <c r="N92" i="6"/>
  <c r="M92" i="6"/>
  <c r="N91" i="6"/>
  <c r="M91" i="6"/>
  <c r="N90" i="6"/>
  <c r="M90" i="6"/>
  <c r="L89" i="6"/>
  <c r="K89" i="6"/>
  <c r="M89" i="6" s="1"/>
  <c r="J89" i="6"/>
  <c r="I89" i="6"/>
  <c r="H89" i="6"/>
  <c r="G89" i="6"/>
  <c r="F89" i="6"/>
  <c r="N88" i="6"/>
  <c r="M88" i="6"/>
  <c r="L87" i="6"/>
  <c r="M87" i="6" s="1"/>
  <c r="K87" i="6"/>
  <c r="J87" i="6"/>
  <c r="I87" i="6"/>
  <c r="H87" i="6"/>
  <c r="G87" i="6"/>
  <c r="F87" i="6"/>
  <c r="N86" i="6"/>
  <c r="M86" i="6"/>
  <c r="N85" i="6"/>
  <c r="M85" i="6"/>
  <c r="N84" i="6"/>
  <c r="M84" i="6"/>
  <c r="L83" i="6"/>
  <c r="K83" i="6"/>
  <c r="M83" i="6" s="1"/>
  <c r="J83" i="6"/>
  <c r="J60" i="6" s="1"/>
  <c r="I83" i="6"/>
  <c r="H83" i="6"/>
  <c r="G83" i="6"/>
  <c r="F83" i="6"/>
  <c r="N82" i="6"/>
  <c r="M82" i="6"/>
  <c r="N81" i="6"/>
  <c r="M81" i="6"/>
  <c r="N80" i="6"/>
  <c r="M80" i="6"/>
  <c r="N79" i="6"/>
  <c r="M79" i="6"/>
  <c r="N78" i="6"/>
  <c r="M78" i="6"/>
  <c r="L77" i="6"/>
  <c r="L60" i="6" s="1"/>
  <c r="K77" i="6"/>
  <c r="M77" i="6" s="1"/>
  <c r="J77" i="6"/>
  <c r="I77" i="6"/>
  <c r="H77" i="6"/>
  <c r="G77" i="6"/>
  <c r="F77" i="6"/>
  <c r="N76" i="6"/>
  <c r="M76" i="6"/>
  <c r="N75" i="6"/>
  <c r="M75" i="6"/>
  <c r="N74" i="6"/>
  <c r="M74" i="6"/>
  <c r="N73" i="6"/>
  <c r="M73" i="6"/>
  <c r="N72" i="6"/>
  <c r="M72" i="6"/>
  <c r="N71" i="6"/>
  <c r="M71" i="6"/>
  <c r="L70" i="6"/>
  <c r="K70" i="6"/>
  <c r="M70" i="6" s="1"/>
  <c r="J70" i="6"/>
  <c r="I70" i="6"/>
  <c r="H70" i="6"/>
  <c r="G70" i="6"/>
  <c r="F70" i="6"/>
  <c r="N69" i="6"/>
  <c r="M69" i="6"/>
  <c r="N68" i="6"/>
  <c r="M68" i="6"/>
  <c r="N67" i="6"/>
  <c r="M67" i="6"/>
  <c r="N66" i="6"/>
  <c r="M66" i="6"/>
  <c r="N65" i="6"/>
  <c r="M65" i="6"/>
  <c r="N64" i="6"/>
  <c r="M64" i="6"/>
  <c r="N63" i="6"/>
  <c r="M63" i="6"/>
  <c r="N62" i="6"/>
  <c r="M62" i="6"/>
  <c r="L61" i="6"/>
  <c r="K61" i="6"/>
  <c r="M61" i="6" s="1"/>
  <c r="J61" i="6"/>
  <c r="I61" i="6"/>
  <c r="H61" i="6"/>
  <c r="H60" i="6" s="1"/>
  <c r="G61" i="6"/>
  <c r="F61" i="6"/>
  <c r="K60" i="6"/>
  <c r="N60" i="6" s="1"/>
  <c r="I60" i="6"/>
  <c r="G60" i="6"/>
  <c r="N59" i="6"/>
  <c r="M59" i="6"/>
  <c r="N58" i="6"/>
  <c r="M58" i="6"/>
  <c r="N57" i="6"/>
  <c r="M57" i="6"/>
  <c r="L56" i="6"/>
  <c r="K56" i="6"/>
  <c r="M56" i="6" s="1"/>
  <c r="J56" i="6"/>
  <c r="I56" i="6"/>
  <c r="H56" i="6"/>
  <c r="G56" i="6"/>
  <c r="F56" i="6"/>
  <c r="N55" i="6"/>
  <c r="M55" i="6"/>
  <c r="N54" i="6"/>
  <c r="M54" i="6"/>
  <c r="N53" i="6"/>
  <c r="M53" i="6"/>
  <c r="N52" i="6"/>
  <c r="M52" i="6"/>
  <c r="L51" i="6"/>
  <c r="K51" i="6"/>
  <c r="M51" i="6" s="1"/>
  <c r="J51" i="6"/>
  <c r="I51" i="6"/>
  <c r="H51" i="6"/>
  <c r="G51" i="6"/>
  <c r="G29" i="6" s="1"/>
  <c r="F51" i="6"/>
  <c r="N50" i="6"/>
  <c r="M50" i="6"/>
  <c r="N49" i="6"/>
  <c r="M49" i="6"/>
  <c r="N48" i="6"/>
  <c r="M48" i="6"/>
  <c r="M47" i="6"/>
  <c r="L47" i="6"/>
  <c r="K47" i="6"/>
  <c r="J47" i="6"/>
  <c r="I47" i="6"/>
  <c r="H47" i="6"/>
  <c r="G47" i="6"/>
  <c r="F47" i="6"/>
  <c r="N46" i="6"/>
  <c r="M46" i="6"/>
  <c r="N45" i="6"/>
  <c r="M45" i="6"/>
  <c r="N44" i="6"/>
  <c r="M44" i="6"/>
  <c r="N43" i="6"/>
  <c r="M43" i="6"/>
  <c r="N42" i="6"/>
  <c r="M42" i="6"/>
  <c r="N41" i="6"/>
  <c r="M41" i="6"/>
  <c r="N40" i="6"/>
  <c r="M40" i="6"/>
  <c r="N39" i="6"/>
  <c r="M39" i="6"/>
  <c r="M38" i="6"/>
  <c r="L38" i="6"/>
  <c r="K38" i="6"/>
  <c r="J38" i="6"/>
  <c r="I38" i="6"/>
  <c r="H38" i="6"/>
  <c r="G38" i="6"/>
  <c r="F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L30" i="6"/>
  <c r="K30" i="6"/>
  <c r="K29" i="6" s="1"/>
  <c r="N29" i="6" s="1"/>
  <c r="J30" i="6"/>
  <c r="I30" i="6"/>
  <c r="I29" i="6" s="1"/>
  <c r="H30" i="6"/>
  <c r="G30" i="6"/>
  <c r="F30" i="6"/>
  <c r="L29" i="6"/>
  <c r="J29" i="6"/>
  <c r="H29" i="6"/>
  <c r="F29" i="6"/>
  <c r="N28" i="6"/>
  <c r="M28" i="6"/>
  <c r="N27" i="6"/>
  <c r="M27" i="6"/>
  <c r="N26" i="6"/>
  <c r="M26" i="6"/>
  <c r="N25" i="6"/>
  <c r="M25" i="6"/>
  <c r="N24" i="6"/>
  <c r="M24" i="6"/>
  <c r="M23" i="6"/>
  <c r="L23" i="6"/>
  <c r="K23" i="6"/>
  <c r="J23" i="6"/>
  <c r="I23" i="6"/>
  <c r="H23" i="6"/>
  <c r="G23" i="6"/>
  <c r="F23" i="6"/>
  <c r="N22" i="6"/>
  <c r="M22" i="6"/>
  <c r="N21" i="6"/>
  <c r="M21" i="6"/>
  <c r="L20" i="6"/>
  <c r="K20" i="6"/>
  <c r="M20" i="6" s="1"/>
  <c r="J20" i="6"/>
  <c r="I20" i="6"/>
  <c r="H20" i="6"/>
  <c r="G20" i="6"/>
  <c r="F20" i="6"/>
  <c r="N19" i="6"/>
  <c r="M19" i="6"/>
  <c r="N18" i="6"/>
  <c r="M18" i="6"/>
  <c r="L17" i="6"/>
  <c r="K17" i="6"/>
  <c r="M17" i="6" s="1"/>
  <c r="J17" i="6"/>
  <c r="I17" i="6"/>
  <c r="H17" i="6"/>
  <c r="G17" i="6"/>
  <c r="F17" i="6"/>
  <c r="N16" i="6"/>
  <c r="M16" i="6"/>
  <c r="N15" i="6"/>
  <c r="M15" i="6"/>
  <c r="L14" i="6"/>
  <c r="K14" i="6"/>
  <c r="M14" i="6" s="1"/>
  <c r="J14" i="6"/>
  <c r="J10" i="6" s="1"/>
  <c r="J187" i="6" s="1"/>
  <c r="J190" i="6" s="1"/>
  <c r="I14" i="6"/>
  <c r="H14" i="6"/>
  <c r="G14" i="6"/>
  <c r="F14" i="6"/>
  <c r="N13" i="6"/>
  <c r="M13" i="6"/>
  <c r="N12" i="6"/>
  <c r="M12" i="6"/>
  <c r="L11" i="6"/>
  <c r="K11" i="6"/>
  <c r="M11" i="6" s="1"/>
  <c r="M10" i="6" s="1"/>
  <c r="J11" i="6"/>
  <c r="I11" i="6"/>
  <c r="H11" i="6"/>
  <c r="G11" i="6"/>
  <c r="F11" i="6"/>
  <c r="F10" i="6" s="1"/>
  <c r="L10" i="6"/>
  <c r="K10" i="6"/>
  <c r="N10" i="6" s="1"/>
  <c r="I10" i="6"/>
  <c r="I187" i="6" s="1"/>
  <c r="I190" i="6" s="1"/>
  <c r="H10" i="6"/>
  <c r="H187" i="6" s="1"/>
  <c r="H190" i="6" s="1"/>
  <c r="G10" i="6"/>
  <c r="G187" i="6" s="1"/>
  <c r="G190" i="6" s="1"/>
  <c r="L288" i="5"/>
  <c r="K288" i="5"/>
  <c r="N288" i="5" s="1"/>
  <c r="J288" i="5"/>
  <c r="I288" i="5"/>
  <c r="H288" i="5"/>
  <c r="G288" i="5"/>
  <c r="F288" i="5"/>
  <c r="M287" i="5"/>
  <c r="M286" i="5"/>
  <c r="M288" i="5" s="1"/>
  <c r="N284" i="5"/>
  <c r="M284" i="5"/>
  <c r="N283" i="5"/>
  <c r="M283" i="5"/>
  <c r="N282" i="5"/>
  <c r="M282" i="5"/>
  <c r="N281" i="5"/>
  <c r="M281" i="5"/>
  <c r="L280" i="5"/>
  <c r="L223" i="5" s="1"/>
  <c r="K280" i="5"/>
  <c r="K223" i="5" s="1"/>
  <c r="J280" i="5"/>
  <c r="I280" i="5"/>
  <c r="H280" i="5"/>
  <c r="G280" i="5"/>
  <c r="F280" i="5"/>
  <c r="N279" i="5"/>
  <c r="M279" i="5"/>
  <c r="N278" i="5"/>
  <c r="M278" i="5"/>
  <c r="N277" i="5"/>
  <c r="M277" i="5"/>
  <c r="N276" i="5"/>
  <c r="M276" i="5"/>
  <c r="N275" i="5"/>
  <c r="M275" i="5"/>
  <c r="N274" i="5"/>
  <c r="M274" i="5"/>
  <c r="N273" i="5"/>
  <c r="M273" i="5"/>
  <c r="L272" i="5"/>
  <c r="K272" i="5"/>
  <c r="M272" i="5" s="1"/>
  <c r="J272" i="5"/>
  <c r="I272" i="5"/>
  <c r="H272" i="5"/>
  <c r="G272" i="5"/>
  <c r="F272" i="5"/>
  <c r="N271" i="5"/>
  <c r="M271" i="5"/>
  <c r="N270" i="5"/>
  <c r="M270" i="5"/>
  <c r="N269" i="5"/>
  <c r="M269" i="5"/>
  <c r="N268" i="5"/>
  <c r="M268" i="5"/>
  <c r="N267" i="5"/>
  <c r="M267" i="5"/>
  <c r="N266" i="5"/>
  <c r="M266" i="5"/>
  <c r="N265" i="5"/>
  <c r="M265" i="5"/>
  <c r="N264" i="5"/>
  <c r="M264" i="5"/>
  <c r="L263" i="5"/>
  <c r="K263" i="5"/>
  <c r="M263" i="5" s="1"/>
  <c r="J263" i="5"/>
  <c r="I263" i="5"/>
  <c r="H263" i="5"/>
  <c r="G263" i="5"/>
  <c r="F263" i="5"/>
  <c r="N262" i="5"/>
  <c r="M262" i="5"/>
  <c r="N261" i="5"/>
  <c r="M261" i="5"/>
  <c r="N260" i="5"/>
  <c r="M260" i="5"/>
  <c r="N259" i="5"/>
  <c r="M259" i="5"/>
  <c r="N258" i="5"/>
  <c r="M258" i="5"/>
  <c r="N257" i="5"/>
  <c r="M257" i="5"/>
  <c r="N256" i="5"/>
  <c r="M256" i="5"/>
  <c r="N255" i="5"/>
  <c r="M255" i="5"/>
  <c r="L254" i="5"/>
  <c r="K254" i="5"/>
  <c r="M254" i="5" s="1"/>
  <c r="J254" i="5"/>
  <c r="I254" i="5"/>
  <c r="H254" i="5"/>
  <c r="G254" i="5"/>
  <c r="F254" i="5"/>
  <c r="N253" i="5"/>
  <c r="M253" i="5"/>
  <c r="N252" i="5"/>
  <c r="M252" i="5"/>
  <c r="N251" i="5"/>
  <c r="M251" i="5"/>
  <c r="N250" i="5"/>
  <c r="M250" i="5"/>
  <c r="N249" i="5"/>
  <c r="M249" i="5"/>
  <c r="N248" i="5"/>
  <c r="M248" i="5"/>
  <c r="M247" i="5"/>
  <c r="L247" i="5"/>
  <c r="K247" i="5"/>
  <c r="J247" i="5"/>
  <c r="I247" i="5"/>
  <c r="H247" i="5"/>
  <c r="G247" i="5"/>
  <c r="F247" i="5"/>
  <c r="N246" i="5"/>
  <c r="M246" i="5"/>
  <c r="N245" i="5"/>
  <c r="M245" i="5"/>
  <c r="N244" i="5"/>
  <c r="M244" i="5"/>
  <c r="N243" i="5"/>
  <c r="M243" i="5"/>
  <c r="N242" i="5"/>
  <c r="M242" i="5"/>
  <c r="N241" i="5"/>
  <c r="M241" i="5"/>
  <c r="L240" i="5"/>
  <c r="K240" i="5"/>
  <c r="M240" i="5" s="1"/>
  <c r="J240" i="5"/>
  <c r="J223" i="5" s="1"/>
  <c r="I240" i="5"/>
  <c r="I223" i="5" s="1"/>
  <c r="H240" i="5"/>
  <c r="G240" i="5"/>
  <c r="F240" i="5"/>
  <c r="N239" i="5"/>
  <c r="M239" i="5"/>
  <c r="N238" i="5"/>
  <c r="M238" i="5"/>
  <c r="N237" i="5"/>
  <c r="M237" i="5"/>
  <c r="N236" i="5"/>
  <c r="M236" i="5"/>
  <c r="N235" i="5"/>
  <c r="M235" i="5"/>
  <c r="N234" i="5"/>
  <c r="M234" i="5"/>
  <c r="M233" i="5"/>
  <c r="L233" i="5"/>
  <c r="K233" i="5"/>
  <c r="J233" i="5"/>
  <c r="I233" i="5"/>
  <c r="H233" i="5"/>
  <c r="G233" i="5"/>
  <c r="F233" i="5"/>
  <c r="N232" i="5"/>
  <c r="M232" i="5"/>
  <c r="N231" i="5"/>
  <c r="M231" i="5"/>
  <c r="N230" i="5"/>
  <c r="M230" i="5"/>
  <c r="N229" i="5"/>
  <c r="M229" i="5"/>
  <c r="N228" i="5"/>
  <c r="M228" i="5"/>
  <c r="N227" i="5"/>
  <c r="M227" i="5"/>
  <c r="N226" i="5"/>
  <c r="M226" i="5"/>
  <c r="N225" i="5"/>
  <c r="M225" i="5"/>
  <c r="M224" i="5"/>
  <c r="L224" i="5"/>
  <c r="K224" i="5"/>
  <c r="J224" i="5"/>
  <c r="I224" i="5"/>
  <c r="H224" i="5"/>
  <c r="G224" i="5"/>
  <c r="F224" i="5"/>
  <c r="H223" i="5"/>
  <c r="G223" i="5"/>
  <c r="F223" i="5"/>
  <c r="N222" i="5"/>
  <c r="M222" i="5"/>
  <c r="M221" i="5"/>
  <c r="L221" i="5"/>
  <c r="K221" i="5"/>
  <c r="J221" i="5"/>
  <c r="I221" i="5"/>
  <c r="I208" i="5" s="1"/>
  <c r="N208" i="5" s="1"/>
  <c r="H221" i="5"/>
  <c r="H208" i="5" s="1"/>
  <c r="G221" i="5"/>
  <c r="F221" i="5"/>
  <c r="N220" i="5"/>
  <c r="M220" i="5"/>
  <c r="N219" i="5"/>
  <c r="M219" i="5"/>
  <c r="L218" i="5"/>
  <c r="M218" i="5" s="1"/>
  <c r="K218" i="5"/>
  <c r="J218" i="5"/>
  <c r="I218" i="5"/>
  <c r="H218" i="5"/>
  <c r="G218" i="5"/>
  <c r="F218" i="5"/>
  <c r="N217" i="5"/>
  <c r="M217" i="5"/>
  <c r="N216" i="5"/>
  <c r="M216" i="5"/>
  <c r="N215" i="5"/>
  <c r="M215" i="5"/>
  <c r="N214" i="5"/>
  <c r="M214" i="5"/>
  <c r="N213" i="5"/>
  <c r="M213" i="5"/>
  <c r="N212" i="5"/>
  <c r="M212" i="5"/>
  <c r="N211" i="5"/>
  <c r="M211" i="5"/>
  <c r="N210" i="5"/>
  <c r="M210" i="5"/>
  <c r="L209" i="5"/>
  <c r="L208" i="5" s="1"/>
  <c r="K209" i="5"/>
  <c r="J209" i="5"/>
  <c r="I209" i="5"/>
  <c r="H209" i="5"/>
  <c r="G209" i="5"/>
  <c r="F209" i="5"/>
  <c r="K208" i="5"/>
  <c r="J208" i="5"/>
  <c r="G208" i="5"/>
  <c r="F208" i="5"/>
  <c r="N207" i="5"/>
  <c r="M207" i="5"/>
  <c r="N206" i="5"/>
  <c r="M206" i="5"/>
  <c r="M205" i="5"/>
  <c r="L205" i="5"/>
  <c r="K205" i="5"/>
  <c r="J205" i="5"/>
  <c r="I205" i="5"/>
  <c r="H205" i="5"/>
  <c r="G205" i="5"/>
  <c r="F205" i="5"/>
  <c r="N204" i="5"/>
  <c r="M204" i="5"/>
  <c r="L203" i="5"/>
  <c r="L194" i="5" s="1"/>
  <c r="L285" i="5" s="1"/>
  <c r="L289" i="5" s="1"/>
  <c r="K203" i="5"/>
  <c r="K194" i="5" s="1"/>
  <c r="J203" i="5"/>
  <c r="I203" i="5"/>
  <c r="H203" i="5"/>
  <c r="G203" i="5"/>
  <c r="F203" i="5"/>
  <c r="N202" i="5"/>
  <c r="M202" i="5"/>
  <c r="M201" i="5"/>
  <c r="L201" i="5"/>
  <c r="K201" i="5"/>
  <c r="J201" i="5"/>
  <c r="I201" i="5"/>
  <c r="H201" i="5"/>
  <c r="G201" i="5"/>
  <c r="F201" i="5"/>
  <c r="N200" i="5"/>
  <c r="M200" i="5"/>
  <c r="N199" i="5"/>
  <c r="M199" i="5"/>
  <c r="M198" i="5"/>
  <c r="L198" i="5"/>
  <c r="K198" i="5"/>
  <c r="J198" i="5"/>
  <c r="J194" i="5" s="1"/>
  <c r="J285" i="5" s="1"/>
  <c r="J289" i="5" s="1"/>
  <c r="I198" i="5"/>
  <c r="I194" i="5" s="1"/>
  <c r="H198" i="5"/>
  <c r="G198" i="5"/>
  <c r="F198" i="5"/>
  <c r="N197" i="5"/>
  <c r="M197" i="5"/>
  <c r="N196" i="5"/>
  <c r="M196" i="5"/>
  <c r="M195" i="5"/>
  <c r="L195" i="5"/>
  <c r="K195" i="5"/>
  <c r="J195" i="5"/>
  <c r="I195" i="5"/>
  <c r="H195" i="5"/>
  <c r="G195" i="5"/>
  <c r="F195" i="5"/>
  <c r="H194" i="5"/>
  <c r="H285" i="5" s="1"/>
  <c r="H289" i="5" s="1"/>
  <c r="G194" i="5"/>
  <c r="G285" i="5" s="1"/>
  <c r="G289" i="5" s="1"/>
  <c r="F194" i="5"/>
  <c r="F285" i="5" s="1"/>
  <c r="F289" i="5" s="1"/>
  <c r="L189" i="5"/>
  <c r="K189" i="5"/>
  <c r="N189" i="5" s="1"/>
  <c r="J189" i="5"/>
  <c r="I189" i="5"/>
  <c r="H189" i="5"/>
  <c r="G189" i="5"/>
  <c r="F189" i="5"/>
  <c r="M188" i="5"/>
  <c r="M189" i="5" s="1"/>
  <c r="N186" i="5"/>
  <c r="M186" i="5"/>
  <c r="N185" i="5"/>
  <c r="M185" i="5"/>
  <c r="N184" i="5"/>
  <c r="M184" i="5"/>
  <c r="L183" i="5"/>
  <c r="K183" i="5"/>
  <c r="M183" i="5" s="1"/>
  <c r="J183" i="5"/>
  <c r="I183" i="5"/>
  <c r="H183" i="5"/>
  <c r="G183" i="5"/>
  <c r="F183" i="5"/>
  <c r="N182" i="5"/>
  <c r="M182" i="5"/>
  <c r="N181" i="5"/>
  <c r="M181" i="5"/>
  <c r="N180" i="5"/>
  <c r="M180" i="5"/>
  <c r="L179" i="5"/>
  <c r="K179" i="5"/>
  <c r="M179" i="5" s="1"/>
  <c r="J179" i="5"/>
  <c r="I179" i="5"/>
  <c r="H179" i="5"/>
  <c r="G179" i="5"/>
  <c r="F179" i="5"/>
  <c r="N178" i="5"/>
  <c r="M178" i="5"/>
  <c r="N177" i="5"/>
  <c r="M177" i="5"/>
  <c r="L176" i="5"/>
  <c r="K176" i="5"/>
  <c r="M176" i="5" s="1"/>
  <c r="J176" i="5"/>
  <c r="J165" i="5" s="1"/>
  <c r="I176" i="5"/>
  <c r="H176" i="5"/>
  <c r="G176" i="5"/>
  <c r="F176" i="5"/>
  <c r="N175" i="5"/>
  <c r="M175" i="5"/>
  <c r="L174" i="5"/>
  <c r="L165" i="5" s="1"/>
  <c r="K174" i="5"/>
  <c r="J174" i="5"/>
  <c r="I174" i="5"/>
  <c r="H174" i="5"/>
  <c r="G174" i="5"/>
  <c r="F174" i="5"/>
  <c r="N173" i="5"/>
  <c r="M173" i="5"/>
  <c r="M172" i="5"/>
  <c r="L172" i="5"/>
  <c r="K172" i="5"/>
  <c r="J172" i="5"/>
  <c r="I172" i="5"/>
  <c r="H172" i="5"/>
  <c r="G172" i="5"/>
  <c r="G165" i="5" s="1"/>
  <c r="F172" i="5"/>
  <c r="F165" i="5" s="1"/>
  <c r="N171" i="5"/>
  <c r="M171" i="5"/>
  <c r="N170" i="5"/>
  <c r="M170" i="5"/>
  <c r="N169" i="5"/>
  <c r="M169" i="5"/>
  <c r="N168" i="5"/>
  <c r="M168" i="5"/>
  <c r="N167" i="5"/>
  <c r="M167" i="5"/>
  <c r="L166" i="5"/>
  <c r="K166" i="5"/>
  <c r="M166" i="5" s="1"/>
  <c r="J166" i="5"/>
  <c r="I166" i="5"/>
  <c r="H166" i="5"/>
  <c r="H165" i="5" s="1"/>
  <c r="G166" i="5"/>
  <c r="F166" i="5"/>
  <c r="I165" i="5"/>
  <c r="N164" i="5"/>
  <c r="M164" i="5"/>
  <c r="N163" i="5"/>
  <c r="M163" i="5"/>
  <c r="M162" i="5"/>
  <c r="L162" i="5"/>
  <c r="K162" i="5"/>
  <c r="J162" i="5"/>
  <c r="I162" i="5"/>
  <c r="H162" i="5"/>
  <c r="G162" i="5"/>
  <c r="F162" i="5"/>
  <c r="F150" i="5" s="1"/>
  <c r="N161" i="5"/>
  <c r="M161" i="5"/>
  <c r="M160" i="5"/>
  <c r="L160" i="5"/>
  <c r="K160" i="5"/>
  <c r="J160" i="5"/>
  <c r="I160" i="5"/>
  <c r="H160" i="5"/>
  <c r="G160" i="5"/>
  <c r="F160" i="5"/>
  <c r="N159" i="5"/>
  <c r="M159" i="5"/>
  <c r="N158" i="5"/>
  <c r="M158" i="5"/>
  <c r="L157" i="5"/>
  <c r="K157" i="5"/>
  <c r="M157" i="5" s="1"/>
  <c r="J157" i="5"/>
  <c r="I157" i="5"/>
  <c r="H157" i="5"/>
  <c r="G157" i="5"/>
  <c r="F157" i="5"/>
  <c r="N156" i="5"/>
  <c r="M156" i="5"/>
  <c r="N155" i="5"/>
  <c r="M155" i="5"/>
  <c r="L154" i="5"/>
  <c r="K154" i="5"/>
  <c r="M154" i="5" s="1"/>
  <c r="J154" i="5"/>
  <c r="I154" i="5"/>
  <c r="H154" i="5"/>
  <c r="H150" i="5" s="1"/>
  <c r="G154" i="5"/>
  <c r="G150" i="5" s="1"/>
  <c r="F154" i="5"/>
  <c r="N153" i="5"/>
  <c r="M153" i="5"/>
  <c r="N152" i="5"/>
  <c r="M152" i="5"/>
  <c r="L151" i="5"/>
  <c r="K151" i="5"/>
  <c r="K150" i="5" s="1"/>
  <c r="N150" i="5" s="1"/>
  <c r="J151" i="5"/>
  <c r="I151" i="5"/>
  <c r="H151" i="5"/>
  <c r="G151" i="5"/>
  <c r="F151" i="5"/>
  <c r="L150" i="5"/>
  <c r="J150" i="5"/>
  <c r="I150" i="5"/>
  <c r="N149" i="5"/>
  <c r="M149" i="5"/>
  <c r="N148" i="5"/>
  <c r="M148" i="5"/>
  <c r="N147" i="5"/>
  <c r="M147" i="5"/>
  <c r="N146" i="5"/>
  <c r="M146" i="5"/>
  <c r="N145" i="5"/>
  <c r="M145" i="5"/>
  <c r="L144" i="5"/>
  <c r="K144" i="5"/>
  <c r="M144" i="5" s="1"/>
  <c r="J144" i="5"/>
  <c r="I144" i="5"/>
  <c r="H144" i="5"/>
  <c r="G144" i="5"/>
  <c r="F144" i="5"/>
  <c r="N143" i="5"/>
  <c r="M143" i="5"/>
  <c r="M142" i="5"/>
  <c r="L142" i="5"/>
  <c r="K142" i="5"/>
  <c r="J142" i="5"/>
  <c r="I142" i="5"/>
  <c r="I132" i="5" s="1"/>
  <c r="H142" i="5"/>
  <c r="H132" i="5" s="1"/>
  <c r="G142" i="5"/>
  <c r="F142" i="5"/>
  <c r="N141" i="5"/>
  <c r="M141" i="5"/>
  <c r="L140" i="5"/>
  <c r="K140" i="5"/>
  <c r="K132" i="5" s="1"/>
  <c r="J140" i="5"/>
  <c r="J132" i="5" s="1"/>
  <c r="I140" i="5"/>
  <c r="H140" i="5"/>
  <c r="G140" i="5"/>
  <c r="F140" i="5"/>
  <c r="N139" i="5"/>
  <c r="M139" i="5"/>
  <c r="N138" i="5"/>
  <c r="M138" i="5"/>
  <c r="N137" i="5"/>
  <c r="M137" i="5"/>
  <c r="N136" i="5"/>
  <c r="M136" i="5"/>
  <c r="M135" i="5"/>
  <c r="N134" i="5"/>
  <c r="M134" i="5"/>
  <c r="M133" i="5"/>
  <c r="L133" i="5"/>
  <c r="K133" i="5"/>
  <c r="J133" i="5"/>
  <c r="I133" i="5"/>
  <c r="H133" i="5"/>
  <c r="G133" i="5"/>
  <c r="F133" i="5"/>
  <c r="L132" i="5"/>
  <c r="G132" i="5"/>
  <c r="F132" i="5"/>
  <c r="N131" i="5"/>
  <c r="M131" i="5"/>
  <c r="L130" i="5"/>
  <c r="K130" i="5"/>
  <c r="M130" i="5" s="1"/>
  <c r="J130" i="5"/>
  <c r="I130" i="5"/>
  <c r="H130" i="5"/>
  <c r="G130" i="5"/>
  <c r="F130" i="5"/>
  <c r="N129" i="5"/>
  <c r="M129" i="5"/>
  <c r="L128" i="5"/>
  <c r="K128" i="5"/>
  <c r="M128" i="5" s="1"/>
  <c r="J128" i="5"/>
  <c r="J121" i="5" s="1"/>
  <c r="I128" i="5"/>
  <c r="H128" i="5"/>
  <c r="G128" i="5"/>
  <c r="F128" i="5"/>
  <c r="N127" i="5"/>
  <c r="M127" i="5"/>
  <c r="L126" i="5"/>
  <c r="M126" i="5" s="1"/>
  <c r="K126" i="5"/>
  <c r="J126" i="5"/>
  <c r="I126" i="5"/>
  <c r="H126" i="5"/>
  <c r="G126" i="5"/>
  <c r="F126" i="5"/>
  <c r="N125" i="5"/>
  <c r="M125" i="5"/>
  <c r="L124" i="5"/>
  <c r="K124" i="5"/>
  <c r="M124" i="5" s="1"/>
  <c r="J124" i="5"/>
  <c r="I124" i="5"/>
  <c r="H124" i="5"/>
  <c r="G124" i="5"/>
  <c r="G121" i="5" s="1"/>
  <c r="F124" i="5"/>
  <c r="F121" i="5" s="1"/>
  <c r="N123" i="5"/>
  <c r="M123" i="5"/>
  <c r="L122" i="5"/>
  <c r="K122" i="5"/>
  <c r="M122" i="5" s="1"/>
  <c r="J122" i="5"/>
  <c r="I122" i="5"/>
  <c r="H122" i="5"/>
  <c r="H121" i="5" s="1"/>
  <c r="G122" i="5"/>
  <c r="F122" i="5"/>
  <c r="I121" i="5"/>
  <c r="N120" i="5"/>
  <c r="M120" i="5"/>
  <c r="L119" i="5"/>
  <c r="L112" i="5" s="1"/>
  <c r="K119" i="5"/>
  <c r="K112" i="5" s="1"/>
  <c r="J119" i="5"/>
  <c r="I119" i="5"/>
  <c r="H119" i="5"/>
  <c r="G119" i="5"/>
  <c r="F119" i="5"/>
  <c r="N118" i="5"/>
  <c r="M118" i="5"/>
  <c r="M117" i="5"/>
  <c r="L117" i="5"/>
  <c r="K117" i="5"/>
  <c r="J117" i="5"/>
  <c r="I117" i="5"/>
  <c r="H117" i="5"/>
  <c r="G117" i="5"/>
  <c r="F117" i="5"/>
  <c r="F112" i="5" s="1"/>
  <c r="N116" i="5"/>
  <c r="M116" i="5"/>
  <c r="L115" i="5"/>
  <c r="K115" i="5"/>
  <c r="M115" i="5" s="1"/>
  <c r="J115" i="5"/>
  <c r="I115" i="5"/>
  <c r="H115" i="5"/>
  <c r="H112" i="5" s="1"/>
  <c r="G115" i="5"/>
  <c r="G112" i="5" s="1"/>
  <c r="F115" i="5"/>
  <c r="N114" i="5"/>
  <c r="M114" i="5"/>
  <c r="L113" i="5"/>
  <c r="K113" i="5"/>
  <c r="M113" i="5" s="1"/>
  <c r="J113" i="5"/>
  <c r="I113" i="5"/>
  <c r="I112" i="5" s="1"/>
  <c r="H113" i="5"/>
  <c r="G113" i="5"/>
  <c r="F113" i="5"/>
  <c r="J112" i="5"/>
  <c r="N111" i="5"/>
  <c r="M111" i="5"/>
  <c r="N110" i="5"/>
  <c r="M110" i="5"/>
  <c r="N109" i="5"/>
  <c r="M109" i="5"/>
  <c r="N108" i="5"/>
  <c r="M108" i="5"/>
  <c r="N107" i="5"/>
  <c r="M107" i="5"/>
  <c r="N106" i="5"/>
  <c r="M106" i="5"/>
  <c r="N105" i="5"/>
  <c r="M105" i="5"/>
  <c r="N104" i="5"/>
  <c r="M104" i="5"/>
  <c r="L103" i="5"/>
  <c r="K103" i="5"/>
  <c r="M103" i="5" s="1"/>
  <c r="J103" i="5"/>
  <c r="I103" i="5"/>
  <c r="H103" i="5"/>
  <c r="G103" i="5"/>
  <c r="F103" i="5"/>
  <c r="N102" i="5"/>
  <c r="M102" i="5"/>
  <c r="N101" i="5"/>
  <c r="M101" i="5"/>
  <c r="N100" i="5"/>
  <c r="M100" i="5"/>
  <c r="N99" i="5"/>
  <c r="M99" i="5"/>
  <c r="N98" i="5"/>
  <c r="M98" i="5"/>
  <c r="N97" i="5"/>
  <c r="M97" i="5"/>
  <c r="M96" i="5"/>
  <c r="L96" i="5"/>
  <c r="K96" i="5"/>
  <c r="J96" i="5"/>
  <c r="I96" i="5"/>
  <c r="H96" i="5"/>
  <c r="G96" i="5"/>
  <c r="G60" i="5" s="1"/>
  <c r="F96" i="5"/>
  <c r="F60" i="5" s="1"/>
  <c r="N95" i="5"/>
  <c r="M95" i="5"/>
  <c r="N94" i="5"/>
  <c r="M94" i="5"/>
  <c r="N93" i="5"/>
  <c r="M93" i="5"/>
  <c r="N92" i="5"/>
  <c r="M92" i="5"/>
  <c r="N91" i="5"/>
  <c r="M91" i="5"/>
  <c r="N90" i="5"/>
  <c r="M90" i="5"/>
  <c r="L89" i="5"/>
  <c r="K89" i="5"/>
  <c r="M89" i="5" s="1"/>
  <c r="J89" i="5"/>
  <c r="I89" i="5"/>
  <c r="H89" i="5"/>
  <c r="G89" i="5"/>
  <c r="F89" i="5"/>
  <c r="N88" i="5"/>
  <c r="M88" i="5"/>
  <c r="L87" i="5"/>
  <c r="M87" i="5" s="1"/>
  <c r="K87" i="5"/>
  <c r="J87" i="5"/>
  <c r="I87" i="5"/>
  <c r="H87" i="5"/>
  <c r="G87" i="5"/>
  <c r="F87" i="5"/>
  <c r="N86" i="5"/>
  <c r="M86" i="5"/>
  <c r="N85" i="5"/>
  <c r="M85" i="5"/>
  <c r="N84" i="5"/>
  <c r="M84" i="5"/>
  <c r="L83" i="5"/>
  <c r="K83" i="5"/>
  <c r="M83" i="5" s="1"/>
  <c r="J83" i="5"/>
  <c r="J60" i="5" s="1"/>
  <c r="I83" i="5"/>
  <c r="H83" i="5"/>
  <c r="G83" i="5"/>
  <c r="F83" i="5"/>
  <c r="N82" i="5"/>
  <c r="M82" i="5"/>
  <c r="N81" i="5"/>
  <c r="M81" i="5"/>
  <c r="N80" i="5"/>
  <c r="M80" i="5"/>
  <c r="N79" i="5"/>
  <c r="M79" i="5"/>
  <c r="N78" i="5"/>
  <c r="M78" i="5"/>
  <c r="L77" i="5"/>
  <c r="M77" i="5" s="1"/>
  <c r="K77" i="5"/>
  <c r="J77" i="5"/>
  <c r="I77" i="5"/>
  <c r="H77" i="5"/>
  <c r="G77" i="5"/>
  <c r="F77" i="5"/>
  <c r="N76" i="5"/>
  <c r="M76" i="5"/>
  <c r="N75" i="5"/>
  <c r="M75" i="5"/>
  <c r="N74" i="5"/>
  <c r="M74" i="5"/>
  <c r="N73" i="5"/>
  <c r="M73" i="5"/>
  <c r="N72" i="5"/>
  <c r="M72" i="5"/>
  <c r="N71" i="5"/>
  <c r="M71" i="5"/>
  <c r="L70" i="5"/>
  <c r="K70" i="5"/>
  <c r="M70" i="5" s="1"/>
  <c r="J70" i="5"/>
  <c r="I70" i="5"/>
  <c r="H70" i="5"/>
  <c r="G70" i="5"/>
  <c r="F70" i="5"/>
  <c r="N69" i="5"/>
  <c r="M69" i="5"/>
  <c r="N68" i="5"/>
  <c r="M68" i="5"/>
  <c r="N67" i="5"/>
  <c r="M67" i="5"/>
  <c r="N66" i="5"/>
  <c r="M66" i="5"/>
  <c r="N65" i="5"/>
  <c r="M65" i="5"/>
  <c r="N64" i="5"/>
  <c r="M64" i="5"/>
  <c r="N63" i="5"/>
  <c r="M63" i="5"/>
  <c r="N62" i="5"/>
  <c r="M62" i="5"/>
  <c r="L61" i="5"/>
  <c r="K61" i="5"/>
  <c r="M61" i="5" s="1"/>
  <c r="J61" i="5"/>
  <c r="I61" i="5"/>
  <c r="H61" i="5"/>
  <c r="H60" i="5" s="1"/>
  <c r="G61" i="5"/>
  <c r="F61" i="5"/>
  <c r="I60" i="5"/>
  <c r="N59" i="5"/>
  <c r="M59" i="5"/>
  <c r="N58" i="5"/>
  <c r="M58" i="5"/>
  <c r="N57" i="5"/>
  <c r="M57" i="5"/>
  <c r="L56" i="5"/>
  <c r="M56" i="5" s="1"/>
  <c r="K56" i="5"/>
  <c r="J56" i="5"/>
  <c r="I56" i="5"/>
  <c r="H56" i="5"/>
  <c r="G56" i="5"/>
  <c r="F56" i="5"/>
  <c r="N55" i="5"/>
  <c r="M55" i="5"/>
  <c r="N54" i="5"/>
  <c r="M54" i="5"/>
  <c r="N53" i="5"/>
  <c r="M53" i="5"/>
  <c r="N52" i="5"/>
  <c r="M52" i="5"/>
  <c r="L51" i="5"/>
  <c r="K51" i="5"/>
  <c r="M51" i="5" s="1"/>
  <c r="J51" i="5"/>
  <c r="I51" i="5"/>
  <c r="H51" i="5"/>
  <c r="G51" i="5"/>
  <c r="G29" i="5" s="1"/>
  <c r="F51" i="5"/>
  <c r="N50" i="5"/>
  <c r="M50" i="5"/>
  <c r="N49" i="5"/>
  <c r="M49" i="5"/>
  <c r="N48" i="5"/>
  <c r="M48" i="5"/>
  <c r="M47" i="5"/>
  <c r="L47" i="5"/>
  <c r="K47" i="5"/>
  <c r="J47" i="5"/>
  <c r="I47" i="5"/>
  <c r="H47" i="5"/>
  <c r="G47" i="5"/>
  <c r="F47" i="5"/>
  <c r="N46" i="5"/>
  <c r="M46" i="5"/>
  <c r="N45" i="5"/>
  <c r="M45" i="5"/>
  <c r="N44" i="5"/>
  <c r="M44" i="5"/>
  <c r="N43" i="5"/>
  <c r="M43" i="5"/>
  <c r="N42" i="5"/>
  <c r="M42" i="5"/>
  <c r="N41" i="5"/>
  <c r="M41" i="5"/>
  <c r="N40" i="5"/>
  <c r="M40" i="5"/>
  <c r="N39" i="5"/>
  <c r="M39" i="5"/>
  <c r="M38" i="5"/>
  <c r="L38" i="5"/>
  <c r="K38" i="5"/>
  <c r="J38" i="5"/>
  <c r="I38" i="5"/>
  <c r="H38" i="5"/>
  <c r="G38" i="5"/>
  <c r="F38" i="5"/>
  <c r="F29" i="5" s="1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L30" i="5"/>
  <c r="K30" i="5"/>
  <c r="K29" i="5" s="1"/>
  <c r="N29" i="5" s="1"/>
  <c r="J30" i="5"/>
  <c r="I30" i="5"/>
  <c r="H30" i="5"/>
  <c r="H29" i="5" s="1"/>
  <c r="G30" i="5"/>
  <c r="F30" i="5"/>
  <c r="L29" i="5"/>
  <c r="J29" i="5"/>
  <c r="I29" i="5"/>
  <c r="N28" i="5"/>
  <c r="M28" i="5"/>
  <c r="N27" i="5"/>
  <c r="M27" i="5"/>
  <c r="N26" i="5"/>
  <c r="M26" i="5"/>
  <c r="N25" i="5"/>
  <c r="M25" i="5"/>
  <c r="N24" i="5"/>
  <c r="M24" i="5"/>
  <c r="L23" i="5"/>
  <c r="K23" i="5"/>
  <c r="M23" i="5" s="1"/>
  <c r="J23" i="5"/>
  <c r="I23" i="5"/>
  <c r="H23" i="5"/>
  <c r="G23" i="5"/>
  <c r="F23" i="5"/>
  <c r="N22" i="5"/>
  <c r="M22" i="5"/>
  <c r="N21" i="5"/>
  <c r="M21" i="5"/>
  <c r="L20" i="5"/>
  <c r="K20" i="5"/>
  <c r="M20" i="5" s="1"/>
  <c r="J20" i="5"/>
  <c r="I20" i="5"/>
  <c r="H20" i="5"/>
  <c r="G20" i="5"/>
  <c r="F20" i="5"/>
  <c r="N19" i="5"/>
  <c r="M19" i="5"/>
  <c r="N18" i="5"/>
  <c r="M18" i="5"/>
  <c r="L17" i="5"/>
  <c r="K17" i="5"/>
  <c r="M17" i="5" s="1"/>
  <c r="J17" i="5"/>
  <c r="I17" i="5"/>
  <c r="H17" i="5"/>
  <c r="G17" i="5"/>
  <c r="F17" i="5"/>
  <c r="N16" i="5"/>
  <c r="M16" i="5"/>
  <c r="N15" i="5"/>
  <c r="M15" i="5"/>
  <c r="L14" i="5"/>
  <c r="K14" i="5"/>
  <c r="M14" i="5" s="1"/>
  <c r="J14" i="5"/>
  <c r="J10" i="5" s="1"/>
  <c r="J187" i="5" s="1"/>
  <c r="J190" i="5" s="1"/>
  <c r="I14" i="5"/>
  <c r="H14" i="5"/>
  <c r="G14" i="5"/>
  <c r="F14" i="5"/>
  <c r="N13" i="5"/>
  <c r="M13" i="5"/>
  <c r="N12" i="5"/>
  <c r="M12" i="5"/>
  <c r="L11" i="5"/>
  <c r="K11" i="5"/>
  <c r="M11" i="5" s="1"/>
  <c r="M10" i="5" s="1"/>
  <c r="J11" i="5"/>
  <c r="I11" i="5"/>
  <c r="H11" i="5"/>
  <c r="G11" i="5"/>
  <c r="F11" i="5"/>
  <c r="F10" i="5" s="1"/>
  <c r="L10" i="5"/>
  <c r="I10" i="5"/>
  <c r="H10" i="5"/>
  <c r="G10" i="5"/>
  <c r="G187" i="5" s="1"/>
  <c r="G190" i="5" s="1"/>
  <c r="M280" i="2"/>
  <c r="M272" i="2"/>
  <c r="M263" i="2"/>
  <c r="M254" i="2"/>
  <c r="M247" i="2"/>
  <c r="M240" i="2"/>
  <c r="M233" i="2"/>
  <c r="M224" i="2"/>
  <c r="M223" i="2" s="1"/>
  <c r="M221" i="2"/>
  <c r="M218" i="2"/>
  <c r="M209" i="2"/>
  <c r="M205" i="2"/>
  <c r="M203" i="2"/>
  <c r="M201" i="2"/>
  <c r="M198" i="2"/>
  <c r="M195" i="2"/>
  <c r="M194" i="2" s="1"/>
  <c r="G280" i="2"/>
  <c r="H280" i="2"/>
  <c r="I280" i="2"/>
  <c r="J280" i="2"/>
  <c r="K280" i="2"/>
  <c r="L280" i="2"/>
  <c r="G272" i="2"/>
  <c r="H272" i="2"/>
  <c r="I272" i="2"/>
  <c r="J272" i="2"/>
  <c r="K272" i="2"/>
  <c r="L272" i="2"/>
  <c r="G263" i="2"/>
  <c r="H263" i="2"/>
  <c r="I263" i="2"/>
  <c r="J263" i="2"/>
  <c r="K263" i="2"/>
  <c r="L263" i="2"/>
  <c r="G254" i="2"/>
  <c r="H254" i="2"/>
  <c r="I254" i="2"/>
  <c r="J254" i="2"/>
  <c r="K254" i="2"/>
  <c r="L254" i="2"/>
  <c r="G247" i="2"/>
  <c r="H247" i="2"/>
  <c r="I247" i="2"/>
  <c r="J247" i="2"/>
  <c r="K247" i="2"/>
  <c r="L247" i="2"/>
  <c r="G240" i="2"/>
  <c r="H240" i="2"/>
  <c r="I240" i="2"/>
  <c r="J240" i="2"/>
  <c r="K240" i="2"/>
  <c r="L240" i="2"/>
  <c r="G233" i="2"/>
  <c r="H233" i="2"/>
  <c r="I233" i="2"/>
  <c r="J233" i="2"/>
  <c r="K233" i="2"/>
  <c r="L233" i="2"/>
  <c r="G224" i="2"/>
  <c r="H224" i="2"/>
  <c r="I224" i="2"/>
  <c r="J224" i="2"/>
  <c r="K224" i="2"/>
  <c r="L224" i="2"/>
  <c r="G221" i="2"/>
  <c r="H221" i="2"/>
  <c r="I221" i="2"/>
  <c r="J221" i="2"/>
  <c r="K221" i="2"/>
  <c r="L221" i="2"/>
  <c r="G218" i="2"/>
  <c r="H218" i="2"/>
  <c r="I218" i="2"/>
  <c r="J218" i="2"/>
  <c r="K218" i="2"/>
  <c r="L218" i="2"/>
  <c r="G209" i="2"/>
  <c r="H209" i="2"/>
  <c r="I209" i="2"/>
  <c r="J209" i="2"/>
  <c r="K209" i="2"/>
  <c r="L209" i="2"/>
  <c r="G205" i="2"/>
  <c r="H205" i="2"/>
  <c r="I205" i="2"/>
  <c r="J205" i="2"/>
  <c r="K205" i="2"/>
  <c r="L205" i="2"/>
  <c r="G203" i="2"/>
  <c r="H203" i="2"/>
  <c r="I203" i="2"/>
  <c r="J203" i="2"/>
  <c r="K203" i="2"/>
  <c r="L203" i="2"/>
  <c r="G201" i="2"/>
  <c r="H201" i="2"/>
  <c r="I201" i="2"/>
  <c r="J201" i="2"/>
  <c r="K201" i="2"/>
  <c r="L201" i="2"/>
  <c r="G198" i="2"/>
  <c r="H198" i="2"/>
  <c r="I198" i="2"/>
  <c r="J198" i="2"/>
  <c r="K198" i="2"/>
  <c r="L198" i="2"/>
  <c r="G195" i="2"/>
  <c r="H195" i="2"/>
  <c r="I195" i="2"/>
  <c r="J195" i="2"/>
  <c r="K195" i="2"/>
  <c r="L195" i="2"/>
  <c r="G223" i="2"/>
  <c r="H223" i="2"/>
  <c r="I223" i="2"/>
  <c r="N223" i="2" s="1"/>
  <c r="J223" i="2"/>
  <c r="K223" i="2"/>
  <c r="L223" i="2"/>
  <c r="G208" i="2"/>
  <c r="H208" i="2"/>
  <c r="I208" i="2"/>
  <c r="J208" i="2"/>
  <c r="K208" i="2"/>
  <c r="N208" i="2" s="1"/>
  <c r="L208" i="2"/>
  <c r="M208" i="2"/>
  <c r="G194" i="2"/>
  <c r="H194" i="2"/>
  <c r="I194" i="2"/>
  <c r="J194" i="2"/>
  <c r="K194" i="2"/>
  <c r="L194" i="2"/>
  <c r="F289" i="2"/>
  <c r="F288" i="2"/>
  <c r="F280" i="2"/>
  <c r="F272" i="2"/>
  <c r="F263" i="2"/>
  <c r="F254" i="2"/>
  <c r="F247" i="2"/>
  <c r="F240" i="2"/>
  <c r="F233" i="2"/>
  <c r="F224" i="2"/>
  <c r="F223" i="2"/>
  <c r="F208" i="2"/>
  <c r="F221" i="2"/>
  <c r="F218" i="2"/>
  <c r="F209" i="2"/>
  <c r="F205" i="2"/>
  <c r="F203" i="2"/>
  <c r="F201" i="2"/>
  <c r="F198" i="2"/>
  <c r="F194" i="2"/>
  <c r="F195" i="2"/>
  <c r="M188" i="2"/>
  <c r="M183" i="2"/>
  <c r="M179" i="2"/>
  <c r="M176" i="2"/>
  <c r="M174" i="2"/>
  <c r="M172" i="2"/>
  <c r="M166" i="2"/>
  <c r="G183" i="2"/>
  <c r="H183" i="2"/>
  <c r="I183" i="2"/>
  <c r="J183" i="2"/>
  <c r="K183" i="2"/>
  <c r="L183" i="2"/>
  <c r="G179" i="2"/>
  <c r="H179" i="2"/>
  <c r="I179" i="2"/>
  <c r="J179" i="2"/>
  <c r="K179" i="2"/>
  <c r="L179" i="2"/>
  <c r="G176" i="2"/>
  <c r="H176" i="2"/>
  <c r="I176" i="2"/>
  <c r="J176" i="2"/>
  <c r="K176" i="2"/>
  <c r="L176" i="2"/>
  <c r="G174" i="2"/>
  <c r="H174" i="2"/>
  <c r="I174" i="2"/>
  <c r="J174" i="2"/>
  <c r="K174" i="2"/>
  <c r="L174" i="2"/>
  <c r="G172" i="2"/>
  <c r="H172" i="2"/>
  <c r="I172" i="2"/>
  <c r="J172" i="2"/>
  <c r="K172" i="2"/>
  <c r="L172" i="2"/>
  <c r="G166" i="2"/>
  <c r="H166" i="2"/>
  <c r="I166" i="2"/>
  <c r="J166" i="2"/>
  <c r="K166" i="2"/>
  <c r="K165" i="2" s="1"/>
  <c r="L166" i="2"/>
  <c r="M162" i="2"/>
  <c r="M160" i="2"/>
  <c r="M157" i="2"/>
  <c r="M154" i="2"/>
  <c r="M151" i="2"/>
  <c r="G162" i="2"/>
  <c r="H162" i="2"/>
  <c r="I162" i="2"/>
  <c r="J162" i="2"/>
  <c r="K162" i="2"/>
  <c r="L162" i="2"/>
  <c r="G160" i="2"/>
  <c r="H160" i="2"/>
  <c r="I160" i="2"/>
  <c r="J160" i="2"/>
  <c r="K160" i="2"/>
  <c r="L160" i="2"/>
  <c r="G157" i="2"/>
  <c r="H157" i="2"/>
  <c r="I157" i="2"/>
  <c r="J157" i="2"/>
  <c r="K157" i="2"/>
  <c r="K150" i="2" s="1"/>
  <c r="L157" i="2"/>
  <c r="G154" i="2"/>
  <c r="H154" i="2"/>
  <c r="I154" i="2"/>
  <c r="J154" i="2"/>
  <c r="K154" i="2"/>
  <c r="L154" i="2"/>
  <c r="G151" i="2"/>
  <c r="H151" i="2"/>
  <c r="I151" i="2"/>
  <c r="J151" i="2"/>
  <c r="K151" i="2"/>
  <c r="L151" i="2"/>
  <c r="M144" i="2"/>
  <c r="M142" i="2"/>
  <c r="M140" i="2"/>
  <c r="M135" i="2"/>
  <c r="M133" i="2"/>
  <c r="G144" i="2"/>
  <c r="H144" i="2"/>
  <c r="I144" i="2"/>
  <c r="J144" i="2"/>
  <c r="K144" i="2"/>
  <c r="L144" i="2"/>
  <c r="G142" i="2"/>
  <c r="H142" i="2"/>
  <c r="I142" i="2"/>
  <c r="J142" i="2"/>
  <c r="K142" i="2"/>
  <c r="L142" i="2"/>
  <c r="G140" i="2"/>
  <c r="H140" i="2"/>
  <c r="I140" i="2"/>
  <c r="J140" i="2"/>
  <c r="K140" i="2"/>
  <c r="L140" i="2"/>
  <c r="G133" i="2"/>
  <c r="G132" i="2" s="1"/>
  <c r="H133" i="2"/>
  <c r="I133" i="2"/>
  <c r="J133" i="2"/>
  <c r="K133" i="2"/>
  <c r="L133" i="2"/>
  <c r="M130" i="2"/>
  <c r="M128" i="2"/>
  <c r="M126" i="2"/>
  <c r="M124" i="2"/>
  <c r="M122" i="2"/>
  <c r="G130" i="2"/>
  <c r="H130" i="2"/>
  <c r="I130" i="2"/>
  <c r="J130" i="2"/>
  <c r="K130" i="2"/>
  <c r="K121" i="2" s="1"/>
  <c r="N121" i="2" s="1"/>
  <c r="L130" i="2"/>
  <c r="G128" i="2"/>
  <c r="H128" i="2"/>
  <c r="I128" i="2"/>
  <c r="J128" i="2"/>
  <c r="K128" i="2"/>
  <c r="L128" i="2"/>
  <c r="G126" i="2"/>
  <c r="H126" i="2"/>
  <c r="I126" i="2"/>
  <c r="J126" i="2"/>
  <c r="K126" i="2"/>
  <c r="L126" i="2"/>
  <c r="G124" i="2"/>
  <c r="H124" i="2"/>
  <c r="I124" i="2"/>
  <c r="J124" i="2"/>
  <c r="K124" i="2"/>
  <c r="L124" i="2"/>
  <c r="G122" i="2"/>
  <c r="G121" i="2" s="1"/>
  <c r="H122" i="2"/>
  <c r="I122" i="2"/>
  <c r="I121" i="2" s="1"/>
  <c r="J122" i="2"/>
  <c r="K122" i="2"/>
  <c r="L122" i="2"/>
  <c r="M119" i="2"/>
  <c r="M117" i="2"/>
  <c r="M115" i="2"/>
  <c r="M113" i="2"/>
  <c r="G119" i="2"/>
  <c r="H119" i="2"/>
  <c r="I119" i="2"/>
  <c r="J119" i="2"/>
  <c r="K119" i="2"/>
  <c r="L119" i="2"/>
  <c r="G117" i="2"/>
  <c r="H117" i="2"/>
  <c r="I117" i="2"/>
  <c r="J117" i="2"/>
  <c r="K117" i="2"/>
  <c r="L117" i="2"/>
  <c r="G115" i="2"/>
  <c r="H115" i="2"/>
  <c r="I115" i="2"/>
  <c r="J115" i="2"/>
  <c r="K115" i="2"/>
  <c r="L115" i="2"/>
  <c r="G113" i="2"/>
  <c r="H113" i="2"/>
  <c r="I113" i="2"/>
  <c r="J113" i="2"/>
  <c r="K113" i="2"/>
  <c r="K112" i="2" s="1"/>
  <c r="N112" i="2" s="1"/>
  <c r="L113" i="2"/>
  <c r="M103" i="2"/>
  <c r="M96" i="2"/>
  <c r="M89" i="2"/>
  <c r="M87" i="2"/>
  <c r="M83" i="2"/>
  <c r="M77" i="2"/>
  <c r="M70" i="2"/>
  <c r="M61" i="2"/>
  <c r="M60" i="2" s="1"/>
  <c r="G103" i="2"/>
  <c r="H103" i="2"/>
  <c r="I103" i="2"/>
  <c r="J103" i="2"/>
  <c r="K103" i="2"/>
  <c r="L103" i="2"/>
  <c r="G96" i="2"/>
  <c r="H96" i="2"/>
  <c r="I96" i="2"/>
  <c r="J96" i="2"/>
  <c r="K96" i="2"/>
  <c r="L96" i="2"/>
  <c r="G89" i="2"/>
  <c r="H89" i="2"/>
  <c r="I89" i="2"/>
  <c r="J89" i="2"/>
  <c r="K89" i="2"/>
  <c r="L89" i="2"/>
  <c r="G87" i="2"/>
  <c r="H87" i="2"/>
  <c r="I87" i="2"/>
  <c r="J87" i="2"/>
  <c r="K87" i="2"/>
  <c r="L87" i="2"/>
  <c r="G83" i="2"/>
  <c r="H83" i="2"/>
  <c r="I83" i="2"/>
  <c r="J83" i="2"/>
  <c r="K83" i="2"/>
  <c r="L83" i="2"/>
  <c r="G77" i="2"/>
  <c r="H77" i="2"/>
  <c r="I77" i="2"/>
  <c r="J77" i="2"/>
  <c r="K77" i="2"/>
  <c r="L77" i="2"/>
  <c r="G70" i="2"/>
  <c r="H70" i="2"/>
  <c r="I70" i="2"/>
  <c r="J70" i="2"/>
  <c r="K70" i="2"/>
  <c r="L70" i="2"/>
  <c r="G61" i="2"/>
  <c r="H61" i="2"/>
  <c r="I61" i="2"/>
  <c r="J61" i="2"/>
  <c r="K61" i="2"/>
  <c r="L61" i="2"/>
  <c r="M56" i="2"/>
  <c r="M51" i="2"/>
  <c r="M47" i="2"/>
  <c r="M38" i="2"/>
  <c r="M30" i="2"/>
  <c r="M29" i="2" s="1"/>
  <c r="G56" i="2"/>
  <c r="H56" i="2"/>
  <c r="I56" i="2"/>
  <c r="J56" i="2"/>
  <c r="K56" i="2"/>
  <c r="L56" i="2"/>
  <c r="G51" i="2"/>
  <c r="H51" i="2"/>
  <c r="I51" i="2"/>
  <c r="J51" i="2"/>
  <c r="K51" i="2"/>
  <c r="L51" i="2"/>
  <c r="G47" i="2"/>
  <c r="H47" i="2"/>
  <c r="I47" i="2"/>
  <c r="J47" i="2"/>
  <c r="K47" i="2"/>
  <c r="L47" i="2"/>
  <c r="G38" i="2"/>
  <c r="H38" i="2"/>
  <c r="I38" i="2"/>
  <c r="J38" i="2"/>
  <c r="K38" i="2"/>
  <c r="L38" i="2"/>
  <c r="G30" i="2"/>
  <c r="H30" i="2"/>
  <c r="I30" i="2"/>
  <c r="J30" i="2"/>
  <c r="K30" i="2"/>
  <c r="L30" i="2"/>
  <c r="L29" i="2" s="1"/>
  <c r="M23" i="2"/>
  <c r="M20" i="2"/>
  <c r="M17" i="2"/>
  <c r="M14" i="2"/>
  <c r="G23" i="2"/>
  <c r="H23" i="2"/>
  <c r="I23" i="2"/>
  <c r="J23" i="2"/>
  <c r="K23" i="2"/>
  <c r="L23" i="2"/>
  <c r="G20" i="2"/>
  <c r="H20" i="2"/>
  <c r="I20" i="2"/>
  <c r="J20" i="2"/>
  <c r="K20" i="2"/>
  <c r="L20" i="2"/>
  <c r="G17" i="2"/>
  <c r="H17" i="2"/>
  <c r="I17" i="2"/>
  <c r="J17" i="2"/>
  <c r="K17" i="2"/>
  <c r="L17" i="2"/>
  <c r="G14" i="2"/>
  <c r="H14" i="2"/>
  <c r="I14" i="2"/>
  <c r="J14" i="2"/>
  <c r="K14" i="2"/>
  <c r="L14" i="2"/>
  <c r="M11" i="2"/>
  <c r="G11" i="2"/>
  <c r="H11" i="2"/>
  <c r="I11" i="2"/>
  <c r="J11" i="2"/>
  <c r="K11" i="2"/>
  <c r="L11" i="2"/>
  <c r="F190" i="2"/>
  <c r="G165" i="2"/>
  <c r="H165" i="2"/>
  <c r="I165" i="2"/>
  <c r="J165" i="2"/>
  <c r="L165" i="2"/>
  <c r="M165" i="2"/>
  <c r="G150" i="2"/>
  <c r="H150" i="2"/>
  <c r="I150" i="2"/>
  <c r="J150" i="2"/>
  <c r="L150" i="2"/>
  <c r="M150" i="2"/>
  <c r="H132" i="2"/>
  <c r="I132" i="2"/>
  <c r="J132" i="2"/>
  <c r="K132" i="2"/>
  <c r="L132" i="2"/>
  <c r="M132" i="2"/>
  <c r="H121" i="2"/>
  <c r="J121" i="2"/>
  <c r="L121" i="2"/>
  <c r="M121" i="2"/>
  <c r="G112" i="2"/>
  <c r="H112" i="2"/>
  <c r="I112" i="2"/>
  <c r="J112" i="2"/>
  <c r="L112" i="2"/>
  <c r="M112" i="2"/>
  <c r="G60" i="2"/>
  <c r="H60" i="2"/>
  <c r="I60" i="2"/>
  <c r="J60" i="2"/>
  <c r="K60" i="2"/>
  <c r="L60" i="2"/>
  <c r="G29" i="2"/>
  <c r="H29" i="2"/>
  <c r="I29" i="2"/>
  <c r="J29" i="2"/>
  <c r="K29" i="2"/>
  <c r="F11" i="2"/>
  <c r="G10" i="2"/>
  <c r="H10" i="2"/>
  <c r="I10" i="2"/>
  <c r="J10" i="2"/>
  <c r="K10" i="2"/>
  <c r="N10" i="2" s="1"/>
  <c r="L10" i="2"/>
  <c r="M10" i="2"/>
  <c r="F189" i="2"/>
  <c r="F183" i="2"/>
  <c r="F179" i="2"/>
  <c r="F176" i="2"/>
  <c r="F174" i="2"/>
  <c r="F172" i="2"/>
  <c r="F166" i="2"/>
  <c r="F165" i="2"/>
  <c r="F162" i="2"/>
  <c r="F160" i="2"/>
  <c r="F157" i="2"/>
  <c r="F154" i="2"/>
  <c r="F151" i="2"/>
  <c r="F150" i="2"/>
  <c r="F144" i="2"/>
  <c r="F142" i="2"/>
  <c r="F140" i="2"/>
  <c r="F133" i="2"/>
  <c r="F132" i="2"/>
  <c r="F130" i="2"/>
  <c r="F128" i="2"/>
  <c r="F126" i="2"/>
  <c r="F124" i="2"/>
  <c r="F122" i="2"/>
  <c r="F121" i="2"/>
  <c r="F119" i="2"/>
  <c r="F117" i="2"/>
  <c r="F115" i="2"/>
  <c r="F113" i="2"/>
  <c r="F112" i="2"/>
  <c r="F103" i="2"/>
  <c r="F96" i="2"/>
  <c r="F89" i="2"/>
  <c r="F87" i="2"/>
  <c r="F83" i="2"/>
  <c r="F77" i="2"/>
  <c r="F70" i="2"/>
  <c r="F61" i="2"/>
  <c r="F56" i="2"/>
  <c r="F51" i="2"/>
  <c r="F47" i="2"/>
  <c r="F38" i="2"/>
  <c r="F30" i="2"/>
  <c r="F29" i="2"/>
  <c r="F10" i="2"/>
  <c r="F23" i="2"/>
  <c r="F20" i="2"/>
  <c r="F17" i="2"/>
  <c r="F14" i="2"/>
  <c r="G26" i="4"/>
  <c r="H26" i="4"/>
  <c r="I26" i="4"/>
  <c r="G21" i="4"/>
  <c r="H21" i="4"/>
  <c r="I21" i="4"/>
  <c r="G22" i="4"/>
  <c r="G25" i="4" s="1"/>
  <c r="G28" i="4" s="1"/>
  <c r="H22" i="4"/>
  <c r="I22" i="4"/>
  <c r="G23" i="4"/>
  <c r="H23" i="4"/>
  <c r="I23" i="4"/>
  <c r="G24" i="4"/>
  <c r="H24" i="4"/>
  <c r="I24" i="4"/>
  <c r="F28" i="4"/>
  <c r="F27" i="4"/>
  <c r="F26" i="4"/>
  <c r="F24" i="4"/>
  <c r="F23" i="4"/>
  <c r="F22" i="4"/>
  <c r="F21" i="4"/>
  <c r="G16" i="4"/>
  <c r="H16" i="4"/>
  <c r="I16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F16" i="4"/>
  <c r="F14" i="4"/>
  <c r="F13" i="4"/>
  <c r="F12" i="4"/>
  <c r="F11" i="4"/>
  <c r="F10" i="4"/>
  <c r="F9" i="4"/>
  <c r="G8" i="4"/>
  <c r="G27" i="4"/>
  <c r="H27" i="4"/>
  <c r="I27" i="4"/>
  <c r="H25" i="4"/>
  <c r="I25" i="4"/>
  <c r="L181" i="1"/>
  <c r="L167" i="1"/>
  <c r="L152" i="1"/>
  <c r="L133" i="1"/>
  <c r="L123" i="1"/>
  <c r="L109" i="1"/>
  <c r="G166" i="1"/>
  <c r="H166" i="1"/>
  <c r="I166" i="1"/>
  <c r="J166" i="1"/>
  <c r="K166" i="1"/>
  <c r="F166" i="1"/>
  <c r="L101" i="1"/>
  <c r="L74" i="1"/>
  <c r="L61" i="1"/>
  <c r="L48" i="1"/>
  <c r="L41" i="1"/>
  <c r="L21" i="1"/>
  <c r="L11" i="1"/>
  <c r="K11" i="1"/>
  <c r="L13" i="1"/>
  <c r="K12" i="1"/>
  <c r="J11" i="1"/>
  <c r="F167" i="1"/>
  <c r="F181" i="1" s="1"/>
  <c r="F93" i="1"/>
  <c r="F74" i="1" s="1"/>
  <c r="L104" i="1"/>
  <c r="L5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3" i="1"/>
  <c r="L72" i="1"/>
  <c r="L71" i="1"/>
  <c r="L70" i="1"/>
  <c r="L69" i="1"/>
  <c r="L68" i="1"/>
  <c r="L67" i="1"/>
  <c r="L66" i="1"/>
  <c r="L65" i="1"/>
  <c r="L64" i="1"/>
  <c r="L63" i="1"/>
  <c r="L62" i="1"/>
  <c r="L60" i="1"/>
  <c r="L59" i="1"/>
  <c r="L58" i="1"/>
  <c r="L57" i="1"/>
  <c r="L56" i="1"/>
  <c r="L55" i="1"/>
  <c r="L54" i="1"/>
  <c r="L53" i="1"/>
  <c r="L52" i="1"/>
  <c r="L51" i="1"/>
  <c r="L49" i="1"/>
  <c r="L47" i="1"/>
  <c r="L46" i="1"/>
  <c r="L45" i="1"/>
  <c r="L44" i="1"/>
  <c r="L43" i="1"/>
  <c r="L42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17" i="1"/>
  <c r="L14" i="1"/>
  <c r="L12" i="1"/>
  <c r="G182" i="1"/>
  <c r="H182" i="1"/>
  <c r="I182" i="1"/>
  <c r="J182" i="1"/>
  <c r="K182" i="1"/>
  <c r="G181" i="1"/>
  <c r="H181" i="1"/>
  <c r="I181" i="1"/>
  <c r="J181" i="1"/>
  <c r="K181" i="1"/>
  <c r="G177" i="1"/>
  <c r="H177" i="1"/>
  <c r="I177" i="1"/>
  <c r="J177" i="1"/>
  <c r="K177" i="1"/>
  <c r="L177" i="1"/>
  <c r="F177" i="1"/>
  <c r="G168" i="1"/>
  <c r="H168" i="1"/>
  <c r="I168" i="1"/>
  <c r="J168" i="1"/>
  <c r="K168" i="1"/>
  <c r="L168" i="1"/>
  <c r="F168" i="1"/>
  <c r="G167" i="1"/>
  <c r="H167" i="1"/>
  <c r="I167" i="1"/>
  <c r="J167" i="1"/>
  <c r="K167" i="1"/>
  <c r="G163" i="1"/>
  <c r="H163" i="1"/>
  <c r="I163" i="1"/>
  <c r="J163" i="1"/>
  <c r="K163" i="1"/>
  <c r="L163" i="1"/>
  <c r="G161" i="1"/>
  <c r="H161" i="1"/>
  <c r="I161" i="1"/>
  <c r="J161" i="1"/>
  <c r="K161" i="1"/>
  <c r="L161" i="1"/>
  <c r="G159" i="1"/>
  <c r="H159" i="1"/>
  <c r="I159" i="1"/>
  <c r="J159" i="1"/>
  <c r="K159" i="1"/>
  <c r="K152" i="1" s="1"/>
  <c r="L159" i="1"/>
  <c r="G156" i="1"/>
  <c r="H156" i="1"/>
  <c r="I156" i="1"/>
  <c r="J156" i="1"/>
  <c r="K156" i="1"/>
  <c r="L156" i="1"/>
  <c r="G152" i="1"/>
  <c r="H152" i="1"/>
  <c r="I152" i="1"/>
  <c r="J152" i="1"/>
  <c r="G153" i="1"/>
  <c r="H153" i="1"/>
  <c r="I153" i="1"/>
  <c r="J153" i="1"/>
  <c r="K153" i="1"/>
  <c r="L153" i="1"/>
  <c r="F152" i="1"/>
  <c r="F133" i="1"/>
  <c r="G146" i="1"/>
  <c r="H146" i="1"/>
  <c r="I146" i="1"/>
  <c r="J146" i="1"/>
  <c r="K146" i="1"/>
  <c r="L146" i="1"/>
  <c r="G138" i="1"/>
  <c r="H138" i="1"/>
  <c r="I138" i="1"/>
  <c r="J138" i="1"/>
  <c r="K138" i="1"/>
  <c r="L138" i="1"/>
  <c r="G134" i="1"/>
  <c r="H134" i="1"/>
  <c r="I134" i="1"/>
  <c r="J134" i="1"/>
  <c r="K134" i="1"/>
  <c r="L134" i="1"/>
  <c r="G133" i="1"/>
  <c r="H133" i="1"/>
  <c r="I133" i="1"/>
  <c r="J133" i="1"/>
  <c r="K133" i="1"/>
  <c r="G131" i="1"/>
  <c r="H131" i="1"/>
  <c r="I131" i="1"/>
  <c r="J131" i="1"/>
  <c r="K131" i="1"/>
  <c r="L131" i="1"/>
  <c r="G124" i="1"/>
  <c r="H124" i="1"/>
  <c r="I124" i="1"/>
  <c r="J124" i="1"/>
  <c r="K124" i="1"/>
  <c r="L124" i="1"/>
  <c r="G123" i="1"/>
  <c r="H123" i="1"/>
  <c r="I123" i="1"/>
  <c r="J123" i="1"/>
  <c r="M123" i="1" s="1"/>
  <c r="K123" i="1"/>
  <c r="F123" i="1"/>
  <c r="G119" i="1"/>
  <c r="H119" i="1"/>
  <c r="I119" i="1"/>
  <c r="J119" i="1"/>
  <c r="K119" i="1"/>
  <c r="L119" i="1"/>
  <c r="G110" i="1"/>
  <c r="H110" i="1"/>
  <c r="I110" i="1"/>
  <c r="J110" i="1"/>
  <c r="K110" i="1"/>
  <c r="L110" i="1"/>
  <c r="G109" i="1"/>
  <c r="H109" i="1"/>
  <c r="I109" i="1"/>
  <c r="J109" i="1"/>
  <c r="M109" i="1" s="1"/>
  <c r="K109" i="1"/>
  <c r="F109" i="1"/>
  <c r="G105" i="1"/>
  <c r="H105" i="1"/>
  <c r="I105" i="1"/>
  <c r="G104" i="1"/>
  <c r="H104" i="1"/>
  <c r="I104" i="1"/>
  <c r="J104" i="1"/>
  <c r="K104" i="1"/>
  <c r="F104" i="1"/>
  <c r="G101" i="1"/>
  <c r="H101" i="1"/>
  <c r="I101" i="1"/>
  <c r="J101" i="1"/>
  <c r="K101" i="1"/>
  <c r="G93" i="1"/>
  <c r="H93" i="1"/>
  <c r="I93" i="1"/>
  <c r="J93" i="1"/>
  <c r="K93" i="1"/>
  <c r="G84" i="1"/>
  <c r="H84" i="1"/>
  <c r="I84" i="1"/>
  <c r="J84" i="1"/>
  <c r="K84" i="1"/>
  <c r="G75" i="1"/>
  <c r="H75" i="1"/>
  <c r="I75" i="1"/>
  <c r="J75" i="1"/>
  <c r="K75" i="1"/>
  <c r="G74" i="1"/>
  <c r="H74" i="1"/>
  <c r="I74" i="1"/>
  <c r="J74" i="1"/>
  <c r="M74" i="1" s="1"/>
  <c r="K74" i="1"/>
  <c r="G72" i="1"/>
  <c r="H72" i="1"/>
  <c r="I72" i="1"/>
  <c r="J72" i="1"/>
  <c r="K72" i="1"/>
  <c r="G69" i="1"/>
  <c r="H69" i="1"/>
  <c r="I69" i="1"/>
  <c r="J69" i="1"/>
  <c r="K69" i="1"/>
  <c r="G67" i="1"/>
  <c r="H67" i="1"/>
  <c r="I67" i="1"/>
  <c r="J67" i="1"/>
  <c r="K67" i="1"/>
  <c r="G64" i="1"/>
  <c r="H64" i="1"/>
  <c r="I64" i="1"/>
  <c r="J64" i="1"/>
  <c r="K64" i="1"/>
  <c r="G62" i="1"/>
  <c r="H62" i="1"/>
  <c r="I62" i="1"/>
  <c r="J62" i="1"/>
  <c r="K62" i="1"/>
  <c r="G61" i="1"/>
  <c r="H61" i="1"/>
  <c r="I61" i="1"/>
  <c r="J61" i="1"/>
  <c r="G59" i="1"/>
  <c r="H59" i="1"/>
  <c r="I59" i="1"/>
  <c r="J59" i="1"/>
  <c r="K59" i="1"/>
  <c r="K48" i="1" s="1"/>
  <c r="G54" i="1"/>
  <c r="H54" i="1"/>
  <c r="I54" i="1"/>
  <c r="J54" i="1"/>
  <c r="K54" i="1"/>
  <c r="G49" i="1"/>
  <c r="H49" i="1"/>
  <c r="I49" i="1"/>
  <c r="J49" i="1"/>
  <c r="K49" i="1"/>
  <c r="G48" i="1"/>
  <c r="H48" i="1"/>
  <c r="I48" i="1"/>
  <c r="M48" i="1" s="1"/>
  <c r="J48" i="1"/>
  <c r="G46" i="1"/>
  <c r="H46" i="1"/>
  <c r="I46" i="1"/>
  <c r="J46" i="1"/>
  <c r="K46" i="1"/>
  <c r="G42" i="1"/>
  <c r="H42" i="1"/>
  <c r="I42" i="1"/>
  <c r="J42" i="1"/>
  <c r="K42" i="1"/>
  <c r="K41" i="1"/>
  <c r="G41" i="1"/>
  <c r="H41" i="1"/>
  <c r="I41" i="1"/>
  <c r="M41" i="1" s="1"/>
  <c r="J41" i="1"/>
  <c r="G39" i="1"/>
  <c r="H39" i="1"/>
  <c r="I39" i="1"/>
  <c r="J39" i="1"/>
  <c r="K39" i="1"/>
  <c r="F28" i="1"/>
  <c r="G33" i="1"/>
  <c r="H33" i="1"/>
  <c r="I33" i="1"/>
  <c r="J33" i="1"/>
  <c r="K33" i="1"/>
  <c r="G28" i="1"/>
  <c r="H28" i="1"/>
  <c r="I28" i="1"/>
  <c r="J28" i="1"/>
  <c r="K28" i="1"/>
  <c r="G22" i="1"/>
  <c r="H22" i="1"/>
  <c r="I22" i="1"/>
  <c r="J22" i="1"/>
  <c r="J21" i="1" s="1"/>
  <c r="K22" i="1"/>
  <c r="G21" i="1"/>
  <c r="H21" i="1"/>
  <c r="I21" i="1"/>
  <c r="K21" i="1"/>
  <c r="G17" i="1"/>
  <c r="H17" i="1"/>
  <c r="I17" i="1"/>
  <c r="J17" i="1"/>
  <c r="K17" i="1"/>
  <c r="G14" i="1"/>
  <c r="H14" i="1"/>
  <c r="I14" i="1"/>
  <c r="J14" i="1"/>
  <c r="K14" i="1"/>
  <c r="G12" i="1"/>
  <c r="H12" i="1"/>
  <c r="I12" i="1"/>
  <c r="J12" i="1"/>
  <c r="G11" i="1"/>
  <c r="H11" i="1"/>
  <c r="I11" i="1"/>
  <c r="M11" i="1" s="1"/>
  <c r="G9" i="1"/>
  <c r="H9" i="1"/>
  <c r="I9" i="1"/>
  <c r="J9" i="1"/>
  <c r="J8" i="1" s="1"/>
  <c r="G8" i="1"/>
  <c r="H8" i="1"/>
  <c r="I8" i="1"/>
  <c r="F153" i="1"/>
  <c r="F163" i="1"/>
  <c r="F161" i="1"/>
  <c r="F159" i="1"/>
  <c r="F156" i="1"/>
  <c r="F146" i="1"/>
  <c r="F138" i="1"/>
  <c r="F134" i="1"/>
  <c r="F131" i="1"/>
  <c r="F124" i="1"/>
  <c r="F119" i="1"/>
  <c r="F110" i="1"/>
  <c r="F101" i="1"/>
  <c r="F61" i="1"/>
  <c r="F48" i="1"/>
  <c r="F46" i="1"/>
  <c r="F41" i="1" s="1"/>
  <c r="F42" i="1"/>
  <c r="F39" i="1"/>
  <c r="F33" i="1"/>
  <c r="F22" i="1"/>
  <c r="F84" i="1"/>
  <c r="F75" i="1"/>
  <c r="F72" i="1"/>
  <c r="F69" i="1"/>
  <c r="F67" i="1"/>
  <c r="F64" i="1"/>
  <c r="F62" i="1"/>
  <c r="F59" i="1"/>
  <c r="F54" i="1"/>
  <c r="F49" i="1"/>
  <c r="F21" i="1"/>
  <c r="F17" i="1"/>
  <c r="F14" i="1"/>
  <c r="F12" i="1"/>
  <c r="F11" i="1"/>
  <c r="F9" i="1"/>
  <c r="F8" i="1" s="1"/>
  <c r="N284" i="2"/>
  <c r="N283" i="2"/>
  <c r="N282" i="2"/>
  <c r="N281" i="2"/>
  <c r="N279" i="2"/>
  <c r="N278" i="2"/>
  <c r="N277" i="2"/>
  <c r="N276" i="2"/>
  <c r="N275" i="2"/>
  <c r="N274" i="2"/>
  <c r="N273" i="2"/>
  <c r="N271" i="2"/>
  <c r="N270" i="2"/>
  <c r="N269" i="2"/>
  <c r="N268" i="2"/>
  <c r="N267" i="2"/>
  <c r="N266" i="2"/>
  <c r="N265" i="2"/>
  <c r="N264" i="2"/>
  <c r="N262" i="2"/>
  <c r="N261" i="2"/>
  <c r="N260" i="2"/>
  <c r="N259" i="2"/>
  <c r="N258" i="2"/>
  <c r="N257" i="2"/>
  <c r="N256" i="2"/>
  <c r="N255" i="2"/>
  <c r="N253" i="2"/>
  <c r="N252" i="2"/>
  <c r="N251" i="2"/>
  <c r="N250" i="2"/>
  <c r="N249" i="2"/>
  <c r="N248" i="2"/>
  <c r="N246" i="2"/>
  <c r="N245" i="2"/>
  <c r="N244" i="2"/>
  <c r="N243" i="2"/>
  <c r="N242" i="2"/>
  <c r="N241" i="2"/>
  <c r="N239" i="2"/>
  <c r="N238" i="2"/>
  <c r="N237" i="2"/>
  <c r="N236" i="2"/>
  <c r="N235" i="2"/>
  <c r="N234" i="2"/>
  <c r="N232" i="2"/>
  <c r="N231" i="2"/>
  <c r="N230" i="2"/>
  <c r="N229" i="2"/>
  <c r="N228" i="2"/>
  <c r="N227" i="2"/>
  <c r="N226" i="2"/>
  <c r="N225" i="2"/>
  <c r="N222" i="2"/>
  <c r="N220" i="2"/>
  <c r="N219" i="2"/>
  <c r="N217" i="2"/>
  <c r="N216" i="2"/>
  <c r="N215" i="2"/>
  <c r="N214" i="2"/>
  <c r="N213" i="2"/>
  <c r="N212" i="2"/>
  <c r="N211" i="2"/>
  <c r="N210" i="2"/>
  <c r="N207" i="2"/>
  <c r="N206" i="2"/>
  <c r="N204" i="2"/>
  <c r="N202" i="2"/>
  <c r="N200" i="2"/>
  <c r="N199" i="2"/>
  <c r="N197" i="2"/>
  <c r="N196" i="2"/>
  <c r="N186" i="2"/>
  <c r="N185" i="2"/>
  <c r="N184" i="2"/>
  <c r="N182" i="2"/>
  <c r="N181" i="2"/>
  <c r="N180" i="2"/>
  <c r="N178" i="2"/>
  <c r="N177" i="2"/>
  <c r="N175" i="2"/>
  <c r="N173" i="2"/>
  <c r="N171" i="2"/>
  <c r="N170" i="2"/>
  <c r="N169" i="2"/>
  <c r="N168" i="2"/>
  <c r="N167" i="2"/>
  <c r="N164" i="2"/>
  <c r="N163" i="2"/>
  <c r="N161" i="2"/>
  <c r="N159" i="2"/>
  <c r="N158" i="2"/>
  <c r="N156" i="2"/>
  <c r="N155" i="2"/>
  <c r="N153" i="2"/>
  <c r="N152" i="2"/>
  <c r="N149" i="2"/>
  <c r="N148" i="2"/>
  <c r="N147" i="2"/>
  <c r="N146" i="2"/>
  <c r="N145" i="2"/>
  <c r="N143" i="2"/>
  <c r="N141" i="2"/>
  <c r="N139" i="2"/>
  <c r="N138" i="2"/>
  <c r="N137" i="2"/>
  <c r="N136" i="2"/>
  <c r="N134" i="2"/>
  <c r="N131" i="2"/>
  <c r="N129" i="2"/>
  <c r="N127" i="2"/>
  <c r="N125" i="2"/>
  <c r="N123" i="2"/>
  <c r="N120" i="2"/>
  <c r="N118" i="2"/>
  <c r="N116" i="2"/>
  <c r="N114" i="2"/>
  <c r="N111" i="2"/>
  <c r="N110" i="2"/>
  <c r="N109" i="2"/>
  <c r="N108" i="2"/>
  <c r="N107" i="2"/>
  <c r="N106" i="2"/>
  <c r="N105" i="2"/>
  <c r="N104" i="2"/>
  <c r="N102" i="2"/>
  <c r="N101" i="2"/>
  <c r="N100" i="2"/>
  <c r="N99" i="2"/>
  <c r="N98" i="2"/>
  <c r="N97" i="2"/>
  <c r="N95" i="2"/>
  <c r="N94" i="2"/>
  <c r="N93" i="2"/>
  <c r="N92" i="2"/>
  <c r="N91" i="2"/>
  <c r="N90" i="2"/>
  <c r="N88" i="2"/>
  <c r="N86" i="2"/>
  <c r="N85" i="2"/>
  <c r="N84" i="2"/>
  <c r="N82" i="2"/>
  <c r="N81" i="2"/>
  <c r="N80" i="2"/>
  <c r="N79" i="2"/>
  <c r="N78" i="2"/>
  <c r="N76" i="2"/>
  <c r="N75" i="2"/>
  <c r="N74" i="2"/>
  <c r="N73" i="2"/>
  <c r="N72" i="2"/>
  <c r="N71" i="2"/>
  <c r="N69" i="2"/>
  <c r="N68" i="2"/>
  <c r="N67" i="2"/>
  <c r="N66" i="2"/>
  <c r="N65" i="2"/>
  <c r="N64" i="2"/>
  <c r="N63" i="2"/>
  <c r="N62" i="2"/>
  <c r="N59" i="2"/>
  <c r="N58" i="2"/>
  <c r="N57" i="2"/>
  <c r="N55" i="2"/>
  <c r="N54" i="2"/>
  <c r="N53" i="2"/>
  <c r="N52" i="2"/>
  <c r="N50" i="2"/>
  <c r="N49" i="2"/>
  <c r="N48" i="2"/>
  <c r="N46" i="2"/>
  <c r="N45" i="2"/>
  <c r="N44" i="2"/>
  <c r="N43" i="2"/>
  <c r="N42" i="2"/>
  <c r="N41" i="2"/>
  <c r="N40" i="2"/>
  <c r="N39" i="2"/>
  <c r="N37" i="2"/>
  <c r="N36" i="2"/>
  <c r="N35" i="2"/>
  <c r="N34" i="2"/>
  <c r="N33" i="2"/>
  <c r="N32" i="2"/>
  <c r="N31" i="2"/>
  <c r="N288" i="2"/>
  <c r="N189" i="2"/>
  <c r="N28" i="2"/>
  <c r="N27" i="2"/>
  <c r="N26" i="2"/>
  <c r="N25" i="2"/>
  <c r="N24" i="2"/>
  <c r="N22" i="2"/>
  <c r="N21" i="2"/>
  <c r="N19" i="2"/>
  <c r="N18" i="2"/>
  <c r="N16" i="2"/>
  <c r="N15" i="2"/>
  <c r="N13" i="2"/>
  <c r="N12" i="2"/>
  <c r="M180" i="1"/>
  <c r="M179" i="1"/>
  <c r="M178" i="1"/>
  <c r="M176" i="1"/>
  <c r="M175" i="1"/>
  <c r="M174" i="1"/>
  <c r="M173" i="1"/>
  <c r="M172" i="1"/>
  <c r="M171" i="1"/>
  <c r="M170" i="1"/>
  <c r="M169" i="1"/>
  <c r="M165" i="1"/>
  <c r="M164" i="1"/>
  <c r="M162" i="1"/>
  <c r="M160" i="1"/>
  <c r="M158" i="1"/>
  <c r="M157" i="1"/>
  <c r="M155" i="1"/>
  <c r="M154" i="1"/>
  <c r="M151" i="1"/>
  <c r="M150" i="1"/>
  <c r="M149" i="1"/>
  <c r="M148" i="1"/>
  <c r="M147" i="1"/>
  <c r="M145" i="1"/>
  <c r="M144" i="1"/>
  <c r="M143" i="1"/>
  <c r="M142" i="1"/>
  <c r="M141" i="1"/>
  <c r="M140" i="1"/>
  <c r="M139" i="1"/>
  <c r="M137" i="1"/>
  <c r="M136" i="1"/>
  <c r="M135" i="1"/>
  <c r="M132" i="1"/>
  <c r="M130" i="1"/>
  <c r="M129" i="1"/>
  <c r="M128" i="1"/>
  <c r="M127" i="1"/>
  <c r="M126" i="1"/>
  <c r="M125" i="1"/>
  <c r="M122" i="1"/>
  <c r="M121" i="1"/>
  <c r="M120" i="1"/>
  <c r="M118" i="1"/>
  <c r="M117" i="1"/>
  <c r="M116" i="1"/>
  <c r="M115" i="1"/>
  <c r="M114" i="1"/>
  <c r="M113" i="1"/>
  <c r="M112" i="1"/>
  <c r="M111" i="1"/>
  <c r="M103" i="1"/>
  <c r="M102" i="1"/>
  <c r="L165" i="1"/>
  <c r="L164" i="1"/>
  <c r="L162" i="1"/>
  <c r="L160" i="1"/>
  <c r="L158" i="1"/>
  <c r="L157" i="1"/>
  <c r="L155" i="1"/>
  <c r="L154" i="1"/>
  <c r="L151" i="1"/>
  <c r="L125" i="1"/>
  <c r="L122" i="1"/>
  <c r="L121" i="1"/>
  <c r="L120" i="1"/>
  <c r="L118" i="1"/>
  <c r="L117" i="1"/>
  <c r="L116" i="1"/>
  <c r="L115" i="1"/>
  <c r="L114" i="1"/>
  <c r="L113" i="1"/>
  <c r="L112" i="1"/>
  <c r="L111" i="1"/>
  <c r="M288" i="2"/>
  <c r="G288" i="2"/>
  <c r="H288" i="2"/>
  <c r="I288" i="2"/>
  <c r="J288" i="2"/>
  <c r="K288" i="2"/>
  <c r="L288" i="2"/>
  <c r="K285" i="2"/>
  <c r="G189" i="2"/>
  <c r="H189" i="2"/>
  <c r="I189" i="2"/>
  <c r="J189" i="2"/>
  <c r="K189" i="2"/>
  <c r="L189" i="2"/>
  <c r="M189" i="2"/>
  <c r="M287" i="2"/>
  <c r="M286" i="2"/>
  <c r="M284" i="2"/>
  <c r="M283" i="2"/>
  <c r="M282" i="2"/>
  <c r="M281" i="2"/>
  <c r="M279" i="2"/>
  <c r="M278" i="2"/>
  <c r="M277" i="2"/>
  <c r="M276" i="2"/>
  <c r="M275" i="2"/>
  <c r="M274" i="2"/>
  <c r="M273" i="2"/>
  <c r="M271" i="2"/>
  <c r="M270" i="2"/>
  <c r="M269" i="2"/>
  <c r="M268" i="2"/>
  <c r="M267" i="2"/>
  <c r="M266" i="2"/>
  <c r="M265" i="2"/>
  <c r="M264" i="2"/>
  <c r="M262" i="2"/>
  <c r="M261" i="2"/>
  <c r="M260" i="2"/>
  <c r="M259" i="2"/>
  <c r="M258" i="2"/>
  <c r="M257" i="2"/>
  <c r="M256" i="2"/>
  <c r="M255" i="2"/>
  <c r="M253" i="2"/>
  <c r="M252" i="2"/>
  <c r="M251" i="2"/>
  <c r="M250" i="2"/>
  <c r="M249" i="2"/>
  <c r="M248" i="2"/>
  <c r="M246" i="2"/>
  <c r="M245" i="2"/>
  <c r="M244" i="2"/>
  <c r="M243" i="2"/>
  <c r="M242" i="2"/>
  <c r="M241" i="2"/>
  <c r="M239" i="2"/>
  <c r="M238" i="2"/>
  <c r="M237" i="2"/>
  <c r="M236" i="2"/>
  <c r="M235" i="2"/>
  <c r="M234" i="2"/>
  <c r="M232" i="2"/>
  <c r="M231" i="2"/>
  <c r="M230" i="2"/>
  <c r="M229" i="2"/>
  <c r="M228" i="2"/>
  <c r="M227" i="2"/>
  <c r="M226" i="2"/>
  <c r="M225" i="2"/>
  <c r="M222" i="2"/>
  <c r="M220" i="2"/>
  <c r="M219" i="2"/>
  <c r="M217" i="2"/>
  <c r="M216" i="2"/>
  <c r="M215" i="2"/>
  <c r="M214" i="2"/>
  <c r="M213" i="2"/>
  <c r="M212" i="2"/>
  <c r="M211" i="2"/>
  <c r="M210" i="2"/>
  <c r="M207" i="2"/>
  <c r="M206" i="2"/>
  <c r="M204" i="2"/>
  <c r="M202" i="2"/>
  <c r="M200" i="2"/>
  <c r="M199" i="2"/>
  <c r="M197" i="2"/>
  <c r="M196" i="2"/>
  <c r="M186" i="2"/>
  <c r="M185" i="2"/>
  <c r="M184" i="2"/>
  <c r="M182" i="2"/>
  <c r="M181" i="2"/>
  <c r="M180" i="2"/>
  <c r="M178" i="2"/>
  <c r="M177" i="2"/>
  <c r="M175" i="2"/>
  <c r="M173" i="2"/>
  <c r="M171" i="2"/>
  <c r="M170" i="2"/>
  <c r="M169" i="2"/>
  <c r="M168" i="2"/>
  <c r="M167" i="2"/>
  <c r="M164" i="2"/>
  <c r="M163" i="2"/>
  <c r="M161" i="2"/>
  <c r="M159" i="2"/>
  <c r="M158" i="2"/>
  <c r="M156" i="2"/>
  <c r="M155" i="2"/>
  <c r="M153" i="2"/>
  <c r="M152" i="2"/>
  <c r="M149" i="2"/>
  <c r="M148" i="2"/>
  <c r="M147" i="2"/>
  <c r="M146" i="2"/>
  <c r="M145" i="2"/>
  <c r="M143" i="2"/>
  <c r="M141" i="2"/>
  <c r="M139" i="2"/>
  <c r="M138" i="2"/>
  <c r="M137" i="2"/>
  <c r="M136" i="2"/>
  <c r="M134" i="2"/>
  <c r="M131" i="2"/>
  <c r="M129" i="2"/>
  <c r="M127" i="2"/>
  <c r="M125" i="2"/>
  <c r="M123" i="2"/>
  <c r="M120" i="2"/>
  <c r="M118" i="2"/>
  <c r="M116" i="2"/>
  <c r="M114" i="2"/>
  <c r="M111" i="2"/>
  <c r="M110" i="2"/>
  <c r="M109" i="2"/>
  <c r="M108" i="2"/>
  <c r="M107" i="2"/>
  <c r="M106" i="2"/>
  <c r="M105" i="2"/>
  <c r="M104" i="2"/>
  <c r="M102" i="2"/>
  <c r="M101" i="2"/>
  <c r="M100" i="2"/>
  <c r="M99" i="2"/>
  <c r="M98" i="2"/>
  <c r="M97" i="2"/>
  <c r="M95" i="2"/>
  <c r="M94" i="2"/>
  <c r="M93" i="2"/>
  <c r="M92" i="2"/>
  <c r="M91" i="2"/>
  <c r="M90" i="2"/>
  <c r="M88" i="2"/>
  <c r="M86" i="2"/>
  <c r="M85" i="2"/>
  <c r="M84" i="2"/>
  <c r="M82" i="2"/>
  <c r="M81" i="2"/>
  <c r="M80" i="2"/>
  <c r="M79" i="2"/>
  <c r="M78" i="2"/>
  <c r="M76" i="2"/>
  <c r="M75" i="2"/>
  <c r="M74" i="2"/>
  <c r="M73" i="2"/>
  <c r="M72" i="2"/>
  <c r="M71" i="2"/>
  <c r="M69" i="2"/>
  <c r="M68" i="2"/>
  <c r="M67" i="2"/>
  <c r="M66" i="2"/>
  <c r="M65" i="2"/>
  <c r="M64" i="2"/>
  <c r="M63" i="2"/>
  <c r="M62" i="2"/>
  <c r="M59" i="2"/>
  <c r="M58" i="2"/>
  <c r="M57" i="2"/>
  <c r="M55" i="2"/>
  <c r="M54" i="2"/>
  <c r="M53" i="2"/>
  <c r="M52" i="2"/>
  <c r="M50" i="2"/>
  <c r="M49" i="2"/>
  <c r="M48" i="2"/>
  <c r="M46" i="2"/>
  <c r="M45" i="2"/>
  <c r="M44" i="2"/>
  <c r="M43" i="2"/>
  <c r="M42" i="2"/>
  <c r="M41" i="2"/>
  <c r="M40" i="2"/>
  <c r="M39" i="2"/>
  <c r="M37" i="2"/>
  <c r="M36" i="2"/>
  <c r="M35" i="2"/>
  <c r="M34" i="2"/>
  <c r="M33" i="2"/>
  <c r="M32" i="2"/>
  <c r="M31" i="2"/>
  <c r="M26" i="2"/>
  <c r="M27" i="2"/>
  <c r="M28" i="2"/>
  <c r="M25" i="2"/>
  <c r="M24" i="2"/>
  <c r="M22" i="2"/>
  <c r="M21" i="2"/>
  <c r="M19" i="2"/>
  <c r="M18" i="2"/>
  <c r="M16" i="2"/>
  <c r="M15" i="2"/>
  <c r="M13" i="2"/>
  <c r="M12" i="2"/>
  <c r="M99" i="1"/>
  <c r="M98" i="1"/>
  <c r="M97" i="1"/>
  <c r="M96" i="1"/>
  <c r="M95" i="1"/>
  <c r="M94" i="1"/>
  <c r="M92" i="1"/>
  <c r="M91" i="1"/>
  <c r="M90" i="1"/>
  <c r="M89" i="1"/>
  <c r="M88" i="1"/>
  <c r="M87" i="1"/>
  <c r="M86" i="1"/>
  <c r="M85" i="1"/>
  <c r="M83" i="1"/>
  <c r="M82" i="1"/>
  <c r="M81" i="1"/>
  <c r="M80" i="1"/>
  <c r="M79" i="1"/>
  <c r="M78" i="1"/>
  <c r="M77" i="1"/>
  <c r="M76" i="1"/>
  <c r="M73" i="1"/>
  <c r="M71" i="1"/>
  <c r="M70" i="1"/>
  <c r="M68" i="1"/>
  <c r="M66" i="1"/>
  <c r="M65" i="1"/>
  <c r="M63" i="1"/>
  <c r="M60" i="1"/>
  <c r="M58" i="1"/>
  <c r="M57" i="1"/>
  <c r="M56" i="1"/>
  <c r="M55" i="1"/>
  <c r="M53" i="1"/>
  <c r="M52" i="1"/>
  <c r="M51" i="1"/>
  <c r="M50" i="1"/>
  <c r="M47" i="1"/>
  <c r="M45" i="1"/>
  <c r="M44" i="1"/>
  <c r="M43" i="1"/>
  <c r="M40" i="1"/>
  <c r="M38" i="1"/>
  <c r="M37" i="1"/>
  <c r="M36" i="1"/>
  <c r="M35" i="1"/>
  <c r="M34" i="1"/>
  <c r="M32" i="1"/>
  <c r="M31" i="1"/>
  <c r="M30" i="1"/>
  <c r="M29" i="1"/>
  <c r="M27" i="1"/>
  <c r="M26" i="1"/>
  <c r="M25" i="1"/>
  <c r="M24" i="1"/>
  <c r="M23" i="1"/>
  <c r="M20" i="1"/>
  <c r="M19" i="1"/>
  <c r="M18" i="1"/>
  <c r="M16" i="1"/>
  <c r="M15" i="1"/>
  <c r="M13" i="1"/>
  <c r="L180" i="1"/>
  <c r="L179" i="1"/>
  <c r="L178" i="1"/>
  <c r="L176" i="1"/>
  <c r="L175" i="1"/>
  <c r="L174" i="1"/>
  <c r="L173" i="1"/>
  <c r="L172" i="1"/>
  <c r="L171" i="1"/>
  <c r="L170" i="1"/>
  <c r="L169" i="1"/>
  <c r="L150" i="1"/>
  <c r="L149" i="1"/>
  <c r="L148" i="1"/>
  <c r="L147" i="1"/>
  <c r="L145" i="1"/>
  <c r="L144" i="1"/>
  <c r="L143" i="1"/>
  <c r="L142" i="1"/>
  <c r="L141" i="1"/>
  <c r="L140" i="1"/>
  <c r="L139" i="1"/>
  <c r="L137" i="1"/>
  <c r="L136" i="1"/>
  <c r="L135" i="1"/>
  <c r="L132" i="1"/>
  <c r="L130" i="1"/>
  <c r="L129" i="1"/>
  <c r="L128" i="1"/>
  <c r="L127" i="1"/>
  <c r="L126" i="1"/>
  <c r="M181" i="1"/>
  <c r="L103" i="1"/>
  <c r="L102" i="1"/>
  <c r="L20" i="1"/>
  <c r="L19" i="1"/>
  <c r="L18" i="1"/>
  <c r="L16" i="1"/>
  <c r="L15" i="1"/>
  <c r="M104" i="1"/>
  <c r="M167" i="1"/>
  <c r="L9" i="1" l="1"/>
  <c r="L8" i="1" s="1"/>
  <c r="F17" i="3"/>
  <c r="F29" i="8"/>
  <c r="F26" i="8"/>
  <c r="F16" i="8"/>
  <c r="F19" i="8" s="1"/>
  <c r="M289" i="7"/>
  <c r="M290" i="7" s="1"/>
  <c r="Q209" i="7"/>
  <c r="Q224" i="7"/>
  <c r="N195" i="7"/>
  <c r="P195" i="7"/>
  <c r="O195" i="7"/>
  <c r="Q286" i="7" s="1"/>
  <c r="Q290" i="7" s="1"/>
  <c r="Q112" i="7"/>
  <c r="Q29" i="7"/>
  <c r="Q60" i="7"/>
  <c r="Q121" i="7"/>
  <c r="O132" i="7"/>
  <c r="Q132" i="7" s="1"/>
  <c r="Q150" i="7"/>
  <c r="N10" i="7"/>
  <c r="O10" i="7"/>
  <c r="P10" i="7"/>
  <c r="P187" i="7" s="1"/>
  <c r="P190" i="7" s="1"/>
  <c r="Q10" i="7"/>
  <c r="L209" i="7"/>
  <c r="M209" i="7" s="1"/>
  <c r="L195" i="7"/>
  <c r="L286" i="7" s="1"/>
  <c r="L290" i="7" s="1"/>
  <c r="K224" i="7"/>
  <c r="J224" i="7"/>
  <c r="M224" i="7" s="1"/>
  <c r="J195" i="7"/>
  <c r="M195" i="7" s="1"/>
  <c r="K195" i="7"/>
  <c r="G224" i="7"/>
  <c r="F195" i="7"/>
  <c r="J165" i="7"/>
  <c r="M112" i="7"/>
  <c r="K150" i="7"/>
  <c r="M150" i="7" s="1"/>
  <c r="K165" i="7"/>
  <c r="L121" i="7"/>
  <c r="M121" i="7" s="1"/>
  <c r="K60" i="7"/>
  <c r="M60" i="7" s="1"/>
  <c r="J29" i="7"/>
  <c r="K29" i="7"/>
  <c r="L29" i="7"/>
  <c r="J10" i="7"/>
  <c r="L10" i="7"/>
  <c r="K10" i="7"/>
  <c r="M10" i="7"/>
  <c r="H224" i="7"/>
  <c r="H286" i="7" s="1"/>
  <c r="H290" i="7" s="1"/>
  <c r="G195" i="7"/>
  <c r="I195" i="7" s="1"/>
  <c r="I209" i="7"/>
  <c r="F112" i="7"/>
  <c r="M188" i="7"/>
  <c r="M189" i="7" s="1"/>
  <c r="G150" i="7"/>
  <c r="H60" i="7"/>
  <c r="H121" i="7"/>
  <c r="H29" i="7"/>
  <c r="G29" i="7"/>
  <c r="G11" i="7"/>
  <c r="I112" i="7"/>
  <c r="G10" i="7"/>
  <c r="H11" i="7"/>
  <c r="H10" i="7" s="1"/>
  <c r="H187" i="7" s="1"/>
  <c r="H190" i="7" s="1"/>
  <c r="F60" i="7"/>
  <c r="I60" i="7" s="1"/>
  <c r="P286" i="7"/>
  <c r="P290" i="7" s="1"/>
  <c r="N187" i="7"/>
  <c r="N190" i="7" s="1"/>
  <c r="O187" i="7"/>
  <c r="O190" i="7" s="1"/>
  <c r="N286" i="7"/>
  <c r="N290" i="7" s="1"/>
  <c r="K286" i="7"/>
  <c r="K290" i="7" s="1"/>
  <c r="L187" i="7"/>
  <c r="L190" i="7" s="1"/>
  <c r="J187" i="7"/>
  <c r="J190" i="7" s="1"/>
  <c r="K187" i="7"/>
  <c r="K190" i="7" s="1"/>
  <c r="F150" i="7"/>
  <c r="I150" i="7" s="1"/>
  <c r="F224" i="7"/>
  <c r="I224" i="7" s="1"/>
  <c r="F165" i="7"/>
  <c r="I165" i="7" s="1"/>
  <c r="F132" i="7"/>
  <c r="I132" i="7" s="1"/>
  <c r="F121" i="7"/>
  <c r="I121" i="7" s="1"/>
  <c r="F187" i="6"/>
  <c r="F190" i="6" s="1"/>
  <c r="L187" i="6"/>
  <c r="L190" i="6" s="1"/>
  <c r="M60" i="6"/>
  <c r="M132" i="6"/>
  <c r="N223" i="6"/>
  <c r="J285" i="6"/>
  <c r="J289" i="6" s="1"/>
  <c r="N194" i="6"/>
  <c r="K285" i="6"/>
  <c r="M165" i="6"/>
  <c r="M194" i="6"/>
  <c r="I285" i="6"/>
  <c r="I289" i="6" s="1"/>
  <c r="K112" i="6"/>
  <c r="N112" i="6" s="1"/>
  <c r="K187" i="6"/>
  <c r="M209" i="6"/>
  <c r="M208" i="6" s="1"/>
  <c r="M30" i="6"/>
  <c r="M29" i="6" s="1"/>
  <c r="M187" i="6" s="1"/>
  <c r="M190" i="6" s="1"/>
  <c r="M151" i="6"/>
  <c r="M150" i="6" s="1"/>
  <c r="M203" i="6"/>
  <c r="M280" i="6"/>
  <c r="M223" i="6" s="1"/>
  <c r="H187" i="5"/>
  <c r="H190" i="5" s="1"/>
  <c r="M60" i="5"/>
  <c r="M165" i="5"/>
  <c r="M223" i="5"/>
  <c r="I187" i="5"/>
  <c r="I190" i="5" s="1"/>
  <c r="N132" i="5"/>
  <c r="F187" i="5"/>
  <c r="F190" i="5" s="1"/>
  <c r="N112" i="5"/>
  <c r="N223" i="5"/>
  <c r="M121" i="5"/>
  <c r="M194" i="5"/>
  <c r="I285" i="5"/>
  <c r="I289" i="5" s="1"/>
  <c r="N194" i="5"/>
  <c r="K285" i="5"/>
  <c r="M174" i="5"/>
  <c r="M30" i="5"/>
  <c r="M29" i="5" s="1"/>
  <c r="M187" i="5" s="1"/>
  <c r="M190" i="5" s="1"/>
  <c r="K60" i="5"/>
  <c r="N60" i="5" s="1"/>
  <c r="M119" i="5"/>
  <c r="M112" i="5" s="1"/>
  <c r="K121" i="5"/>
  <c r="N121" i="5" s="1"/>
  <c r="M151" i="5"/>
  <c r="M150" i="5" s="1"/>
  <c r="K165" i="5"/>
  <c r="N165" i="5" s="1"/>
  <c r="M203" i="5"/>
  <c r="M280" i="5"/>
  <c r="M209" i="5"/>
  <c r="M208" i="5" s="1"/>
  <c r="L60" i="5"/>
  <c r="L187" i="5" s="1"/>
  <c r="L190" i="5" s="1"/>
  <c r="L121" i="5"/>
  <c r="M140" i="5"/>
  <c r="M132" i="5" s="1"/>
  <c r="K10" i="5"/>
  <c r="M285" i="2"/>
  <c r="M289" i="2" s="1"/>
  <c r="J285" i="2"/>
  <c r="J289" i="2" s="1"/>
  <c r="L285" i="2"/>
  <c r="L289" i="2" s="1"/>
  <c r="I285" i="2"/>
  <c r="I289" i="2" s="1"/>
  <c r="G285" i="2"/>
  <c r="G289" i="2" s="1"/>
  <c r="H285" i="2"/>
  <c r="H289" i="2" s="1"/>
  <c r="N194" i="2"/>
  <c r="N285" i="2"/>
  <c r="K289" i="2"/>
  <c r="N289" i="2" s="1"/>
  <c r="F285" i="2"/>
  <c r="N165" i="2"/>
  <c r="N150" i="2"/>
  <c r="N132" i="2"/>
  <c r="N60" i="2"/>
  <c r="H187" i="2"/>
  <c r="H190" i="2" s="1"/>
  <c r="I187" i="2"/>
  <c r="I190" i="2" s="1"/>
  <c r="G187" i="2"/>
  <c r="G190" i="2" s="1"/>
  <c r="L187" i="2"/>
  <c r="L190" i="2" s="1"/>
  <c r="J187" i="2"/>
  <c r="J190" i="2" s="1"/>
  <c r="N29" i="2"/>
  <c r="M187" i="2"/>
  <c r="M190" i="2" s="1"/>
  <c r="K187" i="2"/>
  <c r="F60" i="2"/>
  <c r="F187" i="2" s="1"/>
  <c r="I28" i="4"/>
  <c r="H28" i="4"/>
  <c r="F25" i="4"/>
  <c r="L166" i="1"/>
  <c r="L182" i="1" s="1"/>
  <c r="F182" i="1"/>
  <c r="F100" i="1"/>
  <c r="F105" i="1" s="1"/>
  <c r="M152" i="1"/>
  <c r="M133" i="1"/>
  <c r="M166" i="1"/>
  <c r="M61" i="1"/>
  <c r="K61" i="1"/>
  <c r="K100" i="1" s="1"/>
  <c r="K105" i="1" s="1"/>
  <c r="M21" i="1"/>
  <c r="J100" i="1"/>
  <c r="I100" i="1"/>
  <c r="H100" i="1"/>
  <c r="G100" i="1"/>
  <c r="M8" i="1"/>
  <c r="L100" i="1" l="1"/>
  <c r="L105" i="1" s="1"/>
  <c r="I8" i="4"/>
  <c r="K8" i="3" s="1"/>
  <c r="K17" i="3" s="1"/>
  <c r="G16" i="8"/>
  <c r="G19" i="8" s="1"/>
  <c r="G26" i="8"/>
  <c r="G30" i="8" s="1"/>
  <c r="O286" i="7"/>
  <c r="O290" i="7" s="1"/>
  <c r="Q187" i="7"/>
  <c r="Q190" i="7" s="1"/>
  <c r="J286" i="7"/>
  <c r="J290" i="7" s="1"/>
  <c r="I286" i="7"/>
  <c r="I290" i="7" s="1"/>
  <c r="G286" i="7"/>
  <c r="G290" i="7" s="1"/>
  <c r="M165" i="7"/>
  <c r="M29" i="7"/>
  <c r="M187" i="7" s="1"/>
  <c r="M190" i="7" s="1"/>
  <c r="F286" i="7"/>
  <c r="F290" i="7" s="1"/>
  <c r="I187" i="7"/>
  <c r="I190" i="7" s="1"/>
  <c r="F187" i="7"/>
  <c r="F190" i="7" s="1"/>
  <c r="G187" i="7"/>
  <c r="G190" i="7" s="1"/>
  <c r="M285" i="6"/>
  <c r="M289" i="6" s="1"/>
  <c r="K289" i="6"/>
  <c r="N289" i="6" s="1"/>
  <c r="N285" i="6"/>
  <c r="K190" i="6"/>
  <c r="N190" i="6" s="1"/>
  <c r="N187" i="6"/>
  <c r="M285" i="5"/>
  <c r="M289" i="5" s="1"/>
  <c r="K289" i="5"/>
  <c r="N289" i="5" s="1"/>
  <c r="N285" i="5"/>
  <c r="N10" i="5"/>
  <c r="K187" i="5"/>
  <c r="K190" i="2"/>
  <c r="N190" i="2" s="1"/>
  <c r="N187" i="2"/>
  <c r="G15" i="4"/>
  <c r="G17" i="4" s="1"/>
  <c r="H15" i="4"/>
  <c r="H17" i="4" s="1"/>
  <c r="M100" i="1"/>
  <c r="J105" i="1"/>
  <c r="M182" i="1"/>
  <c r="M105" i="1"/>
  <c r="I15" i="4" l="1"/>
  <c r="I17" i="4" s="1"/>
  <c r="F30" i="8"/>
  <c r="K190" i="5"/>
  <c r="N190" i="5" s="1"/>
  <c r="N187" i="5"/>
</calcChain>
</file>

<file path=xl/sharedStrings.xml><?xml version="1.0" encoding="utf-8"?>
<sst xmlns="http://schemas.openxmlformats.org/spreadsheetml/2006/main" count="1565" uniqueCount="427">
  <si>
    <t>TABLEAU DETAILLE DES RECETTES</t>
  </si>
  <si>
    <t>Autres impôts sur les revenus - Impôt synthétique</t>
  </si>
  <si>
    <t>Impôts fonciers sur les terrains - IFT</t>
  </si>
  <si>
    <t>Impôt foncier sur les propriétés bâties – IFPB</t>
  </si>
  <si>
    <t xml:space="preserve">Autres taxes et impots annuels </t>
  </si>
  <si>
    <t>taxes sur la publicité</t>
  </si>
  <si>
    <t>Taxe d’abattage</t>
  </si>
  <si>
    <t>Taxe de visite et de poinçonnage des viandes</t>
  </si>
  <si>
    <t>Autres impôts sur les biens et services</t>
  </si>
  <si>
    <t>Dotation globale -EPP</t>
  </si>
  <si>
    <t>Dotation globale -CSB</t>
  </si>
  <si>
    <t>Dotation globale -Etat civil</t>
  </si>
  <si>
    <t>Dotation globale -Autres</t>
  </si>
  <si>
    <t>organisme privée locaux</t>
  </si>
  <si>
    <t>Produits des ristournes</t>
  </si>
  <si>
    <t>Prestation de service</t>
  </si>
  <si>
    <t>revenus des domaines</t>
  </si>
  <si>
    <t>Locations diverses</t>
  </si>
  <si>
    <t>TOTAL RECETTES REELLES DE FONCTIONNEMENT</t>
  </si>
  <si>
    <t>SECTION INVESTISSEMENT</t>
  </si>
  <si>
    <t>Terrains</t>
  </si>
  <si>
    <t>TOTAL RECETTES REELLES INVESTISSEMENT</t>
  </si>
  <si>
    <t>Dotations de l’État</t>
  </si>
  <si>
    <t>Excédent de fonctionnement capitalisé</t>
  </si>
  <si>
    <t>RECETTE D'ORDRE INVESTISSEMENT</t>
  </si>
  <si>
    <t>Autres impôts sur les revenus</t>
  </si>
  <si>
    <t>Autres impôts locaux sur les propriétés baties</t>
  </si>
  <si>
    <t>Taxe annuelle sur autres patrimoines</t>
  </si>
  <si>
    <t>Taxes sur les appareils automatiques ou électroniques</t>
  </si>
  <si>
    <t>Taxes sur les appareils mecaniques</t>
  </si>
  <si>
    <t>Taxes particulières sur les biens</t>
  </si>
  <si>
    <t>Taxes sur l'électricité</t>
  </si>
  <si>
    <t>Taxes sur l'eau</t>
  </si>
  <si>
    <t>Surtaxe sur l'eau et l'électricité</t>
  </si>
  <si>
    <t>Taxes sur les eaux minérales</t>
  </si>
  <si>
    <t>Autres taxes particulières sur les biens</t>
  </si>
  <si>
    <t>Taxes particulières sur les services</t>
  </si>
  <si>
    <t>Autres taxes locales sur les services</t>
  </si>
  <si>
    <t>Taxes particulières sur les activités</t>
  </si>
  <si>
    <t>Taxes sur les fêtes, spectacles et manifestations…</t>
  </si>
  <si>
    <t>Prélèvement sur les produits de jeux - PPJ</t>
  </si>
  <si>
    <t>Impôt de licence</t>
  </si>
  <si>
    <t>Taxes sur les établissements exerçant des activités à but lucratif</t>
  </si>
  <si>
    <t>Autres taxes locales sur les activités</t>
  </si>
  <si>
    <t>Amendes fiscales et pénalités</t>
  </si>
  <si>
    <t>Amendes fiscales</t>
  </si>
  <si>
    <t>Pénalité</t>
  </si>
  <si>
    <t>Intérêt moratoire</t>
  </si>
  <si>
    <t>Taxes diverses</t>
  </si>
  <si>
    <t>Droits et taxes diverses : Activités agricoles</t>
  </si>
  <si>
    <t>CONTRIBUTIONS RECUES DES TIERS</t>
  </si>
  <si>
    <t>Subvention d'exploitation - Etat</t>
  </si>
  <si>
    <t>Subventions d'exploitation reçcues des Collectivités Publiques</t>
  </si>
  <si>
    <t>Collectivités Territoriales Décentralisées</t>
  </si>
  <si>
    <t>Autres Collectivités Publiques</t>
  </si>
  <si>
    <t>Etablissements Publics à caractère Administratifs (EPA)</t>
  </si>
  <si>
    <t>Etablissements Publics à caractère Industriel et Commercial (EPIC)</t>
  </si>
  <si>
    <t>Organismes privés locaux</t>
  </si>
  <si>
    <t>PRODUITS FINANCIERS</t>
  </si>
  <si>
    <t>AUTRES RECETTES FISCALES</t>
  </si>
  <si>
    <t>IMPOTS SUR LES BIENS ET SERVICES</t>
  </si>
  <si>
    <t>Produits des prises de participation</t>
  </si>
  <si>
    <t>Produits des autres immobilisations financières</t>
  </si>
  <si>
    <t>Revenus des obligations et bons à plus d'un an</t>
  </si>
  <si>
    <t>Revenus des prêts à long et moyen terme</t>
  </si>
  <si>
    <t>Revenus des autres créances</t>
  </si>
  <si>
    <t>Revenus des titres de placement et des prêts à court terme</t>
  </si>
  <si>
    <t>Revenus des obligations et bons à court terme</t>
  </si>
  <si>
    <t>Revenus des prêts à court terme</t>
  </si>
  <si>
    <t>Autres produits financiers</t>
  </si>
  <si>
    <t>RECETTES NON FISCALES</t>
  </si>
  <si>
    <t>IMPOTS SUR LE PATRIMOINE</t>
  </si>
  <si>
    <t>IMPOTS SUR LES REVENUS, BENEFICES ET GAINS</t>
  </si>
  <si>
    <t>Redevances</t>
  </si>
  <si>
    <t>Produits des activités des services</t>
  </si>
  <si>
    <t>Produits des activités annexes et accessoires</t>
  </si>
  <si>
    <t>Production immobilisée</t>
  </si>
  <si>
    <t>TOTAL RECETTES D'ORDRE FONCTIONNEMENT</t>
  </si>
  <si>
    <t>Autres redevances locales</t>
  </si>
  <si>
    <t>Redevances de collecte et de traitement des ordures ménagères - ROM</t>
  </si>
  <si>
    <t>Redevances de rejet des eaux usées - RREU</t>
  </si>
  <si>
    <t>Redevance et frais d'administration minière</t>
  </si>
  <si>
    <t>Redevances sur autorisations administratives</t>
  </si>
  <si>
    <t>Redevance fixe d'abonnement pour branchement</t>
  </si>
  <si>
    <t>Redevance versées par les fermiers et concessionnaires</t>
  </si>
  <si>
    <t>Produits finis</t>
  </si>
  <si>
    <t>Produits intermédiaires</t>
  </si>
  <si>
    <t>Produits résiduels</t>
  </si>
  <si>
    <t>Travaux</t>
  </si>
  <si>
    <t>Marchandises</t>
  </si>
  <si>
    <t>Autres produits des activités des services</t>
  </si>
  <si>
    <t>Commissions et courtages</t>
  </si>
  <si>
    <t>Confiscations</t>
  </si>
  <si>
    <t>Droit de fourrières</t>
  </si>
  <si>
    <t>Droit de stationnement</t>
  </si>
  <si>
    <t>Autres</t>
  </si>
  <si>
    <t>Immobilisations corporelle</t>
  </si>
  <si>
    <t>Immobilisation incorporelle</t>
  </si>
  <si>
    <t>SOUS-TOTAL FONCTIONNEMENT</t>
  </si>
  <si>
    <t>SUBVENTIONS D'EQUIPEMENT</t>
  </si>
  <si>
    <t>Subventions d'équipement reçues</t>
  </si>
  <si>
    <t>Dotations et fonds divers</t>
  </si>
  <si>
    <t>Réserves</t>
  </si>
  <si>
    <t>SOUS-TOTAL INVESTISSEMENT</t>
  </si>
  <si>
    <t>CESSIONS D'IMMOBILISATIONS</t>
  </si>
  <si>
    <t>Cession d'immobilisations corporelles</t>
  </si>
  <si>
    <t>FONDS, DOTATIONS ET RESERVES</t>
  </si>
  <si>
    <t>Contreparties d'intégrations pratimoniales</t>
  </si>
  <si>
    <t>Dotations : autres collectivités ou organismes publics</t>
  </si>
  <si>
    <t>Fonds de travaux électricité</t>
  </si>
  <si>
    <t>Fonds de travaux réseau eau</t>
  </si>
  <si>
    <t>Dons et legs en capital</t>
  </si>
  <si>
    <t>Mises à disposition</t>
  </si>
  <si>
    <t>Réserves des budgets annexes</t>
  </si>
  <si>
    <t>Autres réserves</t>
  </si>
  <si>
    <t>Subvention d'investissement transférée au compte de résultat</t>
  </si>
  <si>
    <t>Subventions reçues de l'Etat</t>
  </si>
  <si>
    <t>Subventions reçues des Collectivités Territoriales Décentralisées</t>
  </si>
  <si>
    <t>Subventions reçues des Organismes nationaux et internationaux</t>
  </si>
  <si>
    <t>Aides bilatérales</t>
  </si>
  <si>
    <t>Aides multilatérales</t>
  </si>
  <si>
    <t>Autres subventions d'équipement reçues</t>
  </si>
  <si>
    <t>Cession d'immobilisations incorporelles</t>
  </si>
  <si>
    <t>Autres immobilisations incorporelles</t>
  </si>
  <si>
    <t>Concessions et droits similaires, brevets, licence, marques</t>
  </si>
  <si>
    <t>Frais de développement, de recherche et d'études</t>
  </si>
  <si>
    <t>Bâtiments</t>
  </si>
  <si>
    <t>Voies</t>
  </si>
  <si>
    <t>Réseaux</t>
  </si>
  <si>
    <t>Matériel et ouillage</t>
  </si>
  <si>
    <t>Matériels de transport</t>
  </si>
  <si>
    <t>Autres immobilisations corporelles</t>
  </si>
  <si>
    <t>Cession d'immobilisations financières</t>
  </si>
  <si>
    <t>Autres immobilisations financières</t>
  </si>
  <si>
    <t>Ventes de titres de participations</t>
  </si>
  <si>
    <t>Remboursements de prêts accordés à long terme et moyen terme</t>
  </si>
  <si>
    <t>Remboursements de prêts accordés à court terme</t>
  </si>
  <si>
    <t>Remboursements d'avances accordées</t>
  </si>
  <si>
    <t>COMPTE</t>
  </si>
  <si>
    <t>BUDGET PRIMITIF</t>
  </si>
  <si>
    <t>BUDGET ADDITIONNEL</t>
  </si>
  <si>
    <t>MODIFICATIONS +/-</t>
  </si>
  <si>
    <t>PREVISIONS DEFINITIVES (1)</t>
  </si>
  <si>
    <t>OR ADMIS (2)</t>
  </si>
  <si>
    <t>RECOUVREMENT</t>
  </si>
  <si>
    <t>RESTE A RECOUVRER</t>
  </si>
  <si>
    <t>TAUX D'EXECUTION (2/1)</t>
  </si>
  <si>
    <t>COLLECTIVITE : …..........</t>
  </si>
  <si>
    <t>INTITULE</t>
  </si>
  <si>
    <t>RECETTE D'INVESTISSEMENT</t>
  </si>
  <si>
    <t>INTITULES</t>
  </si>
  <si>
    <t>RECETTES DE FONCTIONNEMENT</t>
  </si>
  <si>
    <t>TABLEAU DETAILLE DES DEPENSES</t>
  </si>
  <si>
    <t>CHARGES DE PERSONNEL</t>
  </si>
  <si>
    <t>ACHATS DE BIENS</t>
  </si>
  <si>
    <t>ACHATS DE SERVICES ET CHARGES PERMANENTES</t>
  </si>
  <si>
    <t>DEPENSES D'INTERVENTION</t>
  </si>
  <si>
    <t>IMPOTS ET TAXES</t>
  </si>
  <si>
    <t>TRANSFERTS ET SUBVENTIONS</t>
  </si>
  <si>
    <t>CHARGES FINANCIERES</t>
  </si>
  <si>
    <t>CHARGES DIVERSES</t>
  </si>
  <si>
    <t>EXCEDENT DE FONCTIONNEMENT</t>
  </si>
  <si>
    <t>TOTAL DEPENSES REELLES DE FONCTIONNEMENT</t>
  </si>
  <si>
    <t>TOTAL DEPENSES D'ORDRE DE FONCTIONNEMENT</t>
  </si>
  <si>
    <t>DEPENSES DE FONCTIONNEMENT</t>
  </si>
  <si>
    <t>DEPENSES D'INVESTISSEMENT</t>
  </si>
  <si>
    <t>EMPRUNTS ET DETTES ASSIMILEES</t>
  </si>
  <si>
    <t>IMMOBILISATION INCORPORELLES</t>
  </si>
  <si>
    <t>IMMOBILISATION CORPORELLES</t>
  </si>
  <si>
    <t>TOTAL DEPENSES REELLES D'INVESTISSEMENT</t>
  </si>
  <si>
    <t>TOTAL DEPENSES D'ORDRE D'INVESTISSEMENT</t>
  </si>
  <si>
    <t>ENGAGEMENT</t>
  </si>
  <si>
    <t>MANDAT ADMIS (2)</t>
  </si>
  <si>
    <t>PAIEMENT</t>
  </si>
  <si>
    <t>RESTE A PAYER</t>
  </si>
  <si>
    <t>Salaires et accessoires</t>
  </si>
  <si>
    <t>Personnel permanent</t>
  </si>
  <si>
    <t>Personnel non permanent</t>
  </si>
  <si>
    <t>Indemnités liées à la solde</t>
  </si>
  <si>
    <t>Indemnités et avantages liés à la fonction</t>
  </si>
  <si>
    <t>Supplément familial de traitement</t>
  </si>
  <si>
    <t>Charges sociales patronales</t>
  </si>
  <si>
    <t>Cotisations caisse de retraites civiles et militaires</t>
  </si>
  <si>
    <t>Cotisations à la CNAPS</t>
  </si>
  <si>
    <t>CPR</t>
  </si>
  <si>
    <t>Cotisations aux OSIE</t>
  </si>
  <si>
    <t>Autres charges sociales patronales</t>
  </si>
  <si>
    <t>Achats de biens de fonctionnement général</t>
  </si>
  <si>
    <t>Fournitures et articles de bureau</t>
  </si>
  <si>
    <t>Imprimés, cachets et docuements administratifs</t>
  </si>
  <si>
    <t>Consomptibles informatiques</t>
  </si>
  <si>
    <t>Produits, petits matériels et menues dépenses d'entretien</t>
  </si>
  <si>
    <t>Petits outillages et fournitures d'atelier</t>
  </si>
  <si>
    <t>Instruments spécialisés</t>
  </si>
  <si>
    <t>Habillement</t>
  </si>
  <si>
    <t>Achats de biens à usage spécifique</t>
  </si>
  <si>
    <t>Fornitures scolaires</t>
  </si>
  <si>
    <t>Consommables médicaux</t>
  </si>
  <si>
    <t>Produits pahrmaceutiques</t>
  </si>
  <si>
    <t>Produits vétérianaires</t>
  </si>
  <si>
    <t>Produits alimentaires</t>
  </si>
  <si>
    <t>Intrants agricoles</t>
  </si>
  <si>
    <t>Fournitures sportives</t>
  </si>
  <si>
    <t>Fournitures ménagères</t>
  </si>
  <si>
    <t>Carburants, Lubrifiants et combustibles</t>
  </si>
  <si>
    <t>Carburants et Lubrifiants</t>
  </si>
  <si>
    <t>Gaz</t>
  </si>
  <si>
    <t>Autres combustibles</t>
  </si>
  <si>
    <t>Variation de stocks</t>
  </si>
  <si>
    <t>Variation des stocks de biens de fonctionnement général</t>
  </si>
  <si>
    <t>Variation des stoccks de biens à usage spécifique</t>
  </si>
  <si>
    <t>Variation des stocks de carburants, Lubrifiants et combustibles</t>
  </si>
  <si>
    <t>Variation des staock d'autres achats</t>
  </si>
  <si>
    <t>Autres achats</t>
  </si>
  <si>
    <t>Achats de matières premières</t>
  </si>
  <si>
    <t>Achats de marchandises destinées à être revendues</t>
  </si>
  <si>
    <t>Emballages</t>
  </si>
  <si>
    <t>Entretien et maintenance</t>
  </si>
  <si>
    <t>Entretien de bâtiments</t>
  </si>
  <si>
    <t>Entretien des autres infrastructures</t>
  </si>
  <si>
    <t>Entretien de véhicules</t>
  </si>
  <si>
    <t>Entretien de matériels techniques</t>
  </si>
  <si>
    <t>Entretien et réparation des matériels et mobiliers de bureau</t>
  </si>
  <si>
    <t>Entretien et réparation des matériels et mobiliers de logement</t>
  </si>
  <si>
    <t>Entretien et réparation des matériels et mobiliers scolaires</t>
  </si>
  <si>
    <t>Maintenance du matériel informatique</t>
  </si>
  <si>
    <t>Charges de représentation, d'information, de documentation et d'encadrement</t>
  </si>
  <si>
    <t>Fêtes et cérémonies officielles</t>
  </si>
  <si>
    <t>Charges de représentation : visites officielles</t>
  </si>
  <si>
    <t>Docuementation et abonnement</t>
  </si>
  <si>
    <t>Impression, reliures, insertions, publicité et promotion</t>
  </si>
  <si>
    <t>Frais de Colloques, séminaires, conférences</t>
  </si>
  <si>
    <t>Foires, exposition</t>
  </si>
  <si>
    <t>Charges de transport</t>
  </si>
  <si>
    <t>Frais de déplacement intérieur</t>
  </si>
  <si>
    <t>Frais de déplacement extérieur</t>
  </si>
  <si>
    <t>Locations de voitures</t>
  </si>
  <si>
    <t>Transport administratif</t>
  </si>
  <si>
    <t>Transport de bien</t>
  </si>
  <si>
    <t>Indemnités de mission</t>
  </si>
  <si>
    <t xml:space="preserve">Indemnité de mission intérieure </t>
  </si>
  <si>
    <t xml:space="preserve">Indemnité de mission extérieure </t>
  </si>
  <si>
    <t>Viatique</t>
  </si>
  <si>
    <t>Eau et électricité</t>
  </si>
  <si>
    <t>Eau et éléctricité</t>
  </si>
  <si>
    <t>Poste et télécommunications</t>
  </si>
  <si>
    <t>Frais postaux</t>
  </si>
  <si>
    <t>Redevances téléphoniques</t>
  </si>
  <si>
    <t>Redevances téléphoniques mobiles</t>
  </si>
  <si>
    <t>Internet</t>
  </si>
  <si>
    <t>Télex</t>
  </si>
  <si>
    <t>Charges locatives</t>
  </si>
  <si>
    <t>Location d'immeuble de bureau</t>
  </si>
  <si>
    <t>Location d'immeuble de logement</t>
  </si>
  <si>
    <t>Location d'immeuble de bureau-loggement</t>
  </si>
  <si>
    <t>Location de terrain</t>
  </si>
  <si>
    <t>Location de matériels</t>
  </si>
  <si>
    <t>Autres charges locatives</t>
  </si>
  <si>
    <t>Services divers</t>
  </si>
  <si>
    <t>Rémunérations d'intermédiaires et honoraires</t>
  </si>
  <si>
    <t>Frais d'études et de recherche</t>
  </si>
  <si>
    <t>Frais de stage et de formation</t>
  </si>
  <si>
    <t>Assurances</t>
  </si>
  <si>
    <t>Services banciares et assimilés</t>
  </si>
  <si>
    <t>Cotisations et divers</t>
  </si>
  <si>
    <t>Personnels extérieurs au service</t>
  </si>
  <si>
    <t>Contrat de prestation de service</t>
  </si>
  <si>
    <t>Intervention sociale</t>
  </si>
  <si>
    <t>Intervention économique</t>
  </si>
  <si>
    <t>Intervention structurelle</t>
  </si>
  <si>
    <t>Dépenses d'intervention diverses et imprévues</t>
  </si>
  <si>
    <t>Taxes et impôts directs</t>
  </si>
  <si>
    <t>Autres taxes et impôts directs</t>
  </si>
  <si>
    <t>Taxes et impôts indirects</t>
  </si>
  <si>
    <t>Impôts, taxes et droits d'enregistrement</t>
  </si>
  <si>
    <t>Droits à l'importation</t>
  </si>
  <si>
    <t>Impôts, taxes et droits divers</t>
  </si>
  <si>
    <t>Transferts aux collectivités publiques</t>
  </si>
  <si>
    <t>Bourses</t>
  </si>
  <si>
    <t>Bourses à Madagascar</t>
  </si>
  <si>
    <t>Bourses à l'extérieur</t>
  </si>
  <si>
    <t>Présalaire, Prêt d'honneur</t>
  </si>
  <si>
    <t>Prix et récompenses officiels</t>
  </si>
  <si>
    <t>Contributions obligatoires</t>
  </si>
  <si>
    <t>Transferts aux organismes publics</t>
  </si>
  <si>
    <t>Transferts aux privés</t>
  </si>
  <si>
    <t>Hospitalisation, traitement et soins</t>
  </si>
  <si>
    <t>Secours</t>
  </si>
  <si>
    <t>Indemnisation</t>
  </si>
  <si>
    <t>Régularisation des droits acquis</t>
  </si>
  <si>
    <t>Subvention au secteur privé</t>
  </si>
  <si>
    <t>Charges d'intérêt</t>
  </si>
  <si>
    <t>Intérêts des emprunts</t>
  </si>
  <si>
    <t>Autres charges d'intérêt</t>
  </si>
  <si>
    <t>Intérêts banciares et opérations de financements à court terme</t>
  </si>
  <si>
    <t>Intérêts des opérations de financements à court terme</t>
  </si>
  <si>
    <t>Intérêts des comptes courants et des dépôts créditeurs</t>
  </si>
  <si>
    <t>Intérêts des comptes courants</t>
  </si>
  <si>
    <t>Intérêts des dépôts créditerus</t>
  </si>
  <si>
    <t>Différences de change : pertes</t>
  </si>
  <si>
    <t>Pertes de changes</t>
  </si>
  <si>
    <t>Autres charges financières</t>
  </si>
  <si>
    <t>Intérêts des autres dettes</t>
  </si>
  <si>
    <t>Remise gracieuse, dégrèvement et perte sur titre émis</t>
  </si>
  <si>
    <t>Remises gracieuses</t>
  </si>
  <si>
    <t>Dégrèvement sur titres émis</t>
  </si>
  <si>
    <t>Pertes sur créances irrecouvrables</t>
  </si>
  <si>
    <t>Perte sur dons extérieurs</t>
  </si>
  <si>
    <t>Reversement sur trop peçu</t>
  </si>
  <si>
    <t>Déficits budgets annexes</t>
  </si>
  <si>
    <t>Frais de justice et de contentieux</t>
  </si>
  <si>
    <t>Frais de justice</t>
  </si>
  <si>
    <t>Frais de contentieux</t>
  </si>
  <si>
    <t>Intérêts moratoires, Amendes et Pénalités</t>
  </si>
  <si>
    <t>Amendes</t>
  </si>
  <si>
    <t>Pénalités</t>
  </si>
  <si>
    <t>Autres charges diverses</t>
  </si>
  <si>
    <t>Moins-values sur cessions d'immobilisations</t>
  </si>
  <si>
    <t>Quotes-part de résultat sur opérations faites en commun</t>
  </si>
  <si>
    <t>Reversement sur trop perçu</t>
  </si>
  <si>
    <t>Emprunts en Ariary</t>
  </si>
  <si>
    <t>Emprunts à long et moyen terme : part à plus d'un an</t>
  </si>
  <si>
    <t>Emprunts à long et moyen terme : part à moins d'un an</t>
  </si>
  <si>
    <t>Emprunts en devises</t>
  </si>
  <si>
    <t>Dépôts et cautionnement reçus</t>
  </si>
  <si>
    <t>Dettes sur contrat de location-financement</t>
  </si>
  <si>
    <t>Autres emprunts et dettes assimilés</t>
  </si>
  <si>
    <t>Intérêts courus sur emprunts et dettes assimilés</t>
  </si>
  <si>
    <t>Formation</t>
  </si>
  <si>
    <t>Animation et encadrement</t>
  </si>
  <si>
    <t>Assistance technique</t>
  </si>
  <si>
    <t>Logiciels informatiques et assimilés</t>
  </si>
  <si>
    <t>Etudes et recherches</t>
  </si>
  <si>
    <t>Suivi - Contrôle - Evaluations</t>
  </si>
  <si>
    <t>Frais de pré-exploitation</t>
  </si>
  <si>
    <t>Concessions et droits similaires, brevets, licences, marques</t>
  </si>
  <si>
    <t>Concessions et droits similaires</t>
  </si>
  <si>
    <t>Brevets, licences, marques</t>
  </si>
  <si>
    <t>Autres immoblisations incorporelles</t>
  </si>
  <si>
    <t>Terrains nus</t>
  </si>
  <si>
    <t>Terrains bâtis</t>
  </si>
  <si>
    <t>Terrains de gisement</t>
  </si>
  <si>
    <t>Terrains de chantiers</t>
  </si>
  <si>
    <t>Terrains de voiries</t>
  </si>
  <si>
    <t>Cimetières</t>
  </si>
  <si>
    <t>Bois et forêts</t>
  </si>
  <si>
    <t>Aménagement</t>
  </si>
  <si>
    <t>Aménagement de terrain</t>
  </si>
  <si>
    <t>Aménagement des aérodromes</t>
  </si>
  <si>
    <t>Aménagement des ports</t>
  </si>
  <si>
    <t>Travaux d'irrigation</t>
  </si>
  <si>
    <t>Travaus d'urbanisme</t>
  </si>
  <si>
    <t>Autres aménagements</t>
  </si>
  <si>
    <t>Construction ou Réhabilitation : Bâtiments</t>
  </si>
  <si>
    <t>Batiments administratifs</t>
  </si>
  <si>
    <t>Bâtiments scolaires</t>
  </si>
  <si>
    <t>Batiments de cnetres de soins de santé</t>
  </si>
  <si>
    <t>Autres bâtiments techniques</t>
  </si>
  <si>
    <t>Installations, agencemetns et aménagements - Bâtiments</t>
  </si>
  <si>
    <t>Autres constructions ou réhabilitations - Bâtiments</t>
  </si>
  <si>
    <t>Construction ou Réhabilitation : Voies</t>
  </si>
  <si>
    <t>Construction ou Réhabilitation : Réseaux</t>
  </si>
  <si>
    <t>Réseau d'aduction d'eau</t>
  </si>
  <si>
    <t>Réseau d'assainissement</t>
  </si>
  <si>
    <t>Réseau téléphonique</t>
  </si>
  <si>
    <t>Réseau de communication</t>
  </si>
  <si>
    <t>Réseau d'électricité</t>
  </si>
  <si>
    <t>Réseau d'irrigation</t>
  </si>
  <si>
    <t>Installations, agencements et aménagements - Réseaux</t>
  </si>
  <si>
    <t>Autres constructions ou réhabilitations - Réseaux</t>
  </si>
  <si>
    <t>Matériels et outillages</t>
  </si>
  <si>
    <t>Matériels techniques</t>
  </si>
  <si>
    <t>Matériels agricoles</t>
  </si>
  <si>
    <t>Matériels informatiques</t>
  </si>
  <si>
    <t>Matériels et mobiliers de bureau</t>
  </si>
  <si>
    <t>Matériels et mobiliers de logement</t>
  </si>
  <si>
    <t>Matériels et mobiliers scolaires</t>
  </si>
  <si>
    <t>Outillages</t>
  </si>
  <si>
    <t>Autres matériels et outillages</t>
  </si>
  <si>
    <t>Matériels de transoport</t>
  </si>
  <si>
    <t>Renouvellement des vehicules du parc administratif</t>
  </si>
  <si>
    <t>Matériel automobile</t>
  </si>
  <si>
    <t>Matériel fluvial</t>
  </si>
  <si>
    <t>Matériel ferroviaire</t>
  </si>
  <si>
    <t>Matériel naval</t>
  </si>
  <si>
    <t>Matériel aérien</t>
  </si>
  <si>
    <t>Autres moyens de locomotion</t>
  </si>
  <si>
    <t>Cheptel</t>
  </si>
  <si>
    <t>Emballages récupérables</t>
  </si>
  <si>
    <t>Installations complexes spécialisées</t>
  </si>
  <si>
    <t>Routes</t>
  </si>
  <si>
    <t>Voies ferrées</t>
  </si>
  <si>
    <t>Voies d'eau</t>
  </si>
  <si>
    <t>Pistes d'aérodrome</t>
  </si>
  <si>
    <t>Installations, agencements et aménagements - Voies</t>
  </si>
  <si>
    <t>Autres constructions ou réhabilitations - Voies</t>
  </si>
  <si>
    <t>TAUX D'EXECUTION (2)/(1)</t>
  </si>
  <si>
    <t>MANDAT ADMIS</t>
  </si>
  <si>
    <t>DEPENSES</t>
  </si>
  <si>
    <t>REPORT A NOUVEAU (DEFICIT)</t>
  </si>
  <si>
    <t>REPORT A NOUVEAU (EXCEDENT)</t>
  </si>
  <si>
    <t>PRODUCTION IMMOBILISEE</t>
  </si>
  <si>
    <t>RECETTES</t>
  </si>
  <si>
    <t>TABLEAU D'EQUILIBRE DU COMPTE ADMINISTRATIF</t>
  </si>
  <si>
    <t>DOTATION DE L'ETAT</t>
  </si>
  <si>
    <t>EXCEDENT DE FONCTIONNEMENT CAPITALISE</t>
  </si>
  <si>
    <t>DEFICIT DE FONCTIONNEMENT (1) - (2)</t>
  </si>
  <si>
    <t>EXCEDENT DE FONCTIONNEMENT (1) - (2)</t>
  </si>
  <si>
    <t>TOTAL DEPENSES DE FONCTIONNEMENT (2)</t>
  </si>
  <si>
    <t>TOTAL RECETTES DE FONCTIONNEMENT (1)</t>
  </si>
  <si>
    <t>TOTAL DEPENSES D'INVESTISSEMENT (4)</t>
  </si>
  <si>
    <t>TOTAL RECETTES D'INVESTISSEMENT (3)</t>
  </si>
  <si>
    <t>EXCEDENT D'INVESTISSEMENT (3) - (4)</t>
  </si>
  <si>
    <t>DEFICIT D'INVESTISSEMENT (3) - (4)</t>
  </si>
  <si>
    <t>RECAPITULATIF DES RECETTES</t>
  </si>
  <si>
    <t>PREVISIONS DEFINITIVES</t>
  </si>
  <si>
    <t>OR ADMIS</t>
  </si>
  <si>
    <t>PROGRAMME I :</t>
  </si>
  <si>
    <t>PROGRAMME II :</t>
  </si>
  <si>
    <t>PROGRAMME III :</t>
  </si>
  <si>
    <t>RECAPITULATIF DES DEPENSES PAR PROGRAMME</t>
  </si>
  <si>
    <t>PROGRAMME I</t>
  </si>
  <si>
    <t>PROGRAMME II</t>
  </si>
  <si>
    <t>PROGRAMME III</t>
  </si>
  <si>
    <t>MANDATEMENT</t>
  </si>
  <si>
    <t>TOTAL</t>
  </si>
  <si>
    <t>TABLEAU RECAPITULATIF DES DEPENSES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</si>
</sst>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4"/>
      <color theme="1"/>
      <name val="Aptos Narrow"/>
      <family val="2"/>
    </font>
    <font>
      <b/>
      <sz val="11"/>
      <color theme="0" tint="-4.9989318521683403E-2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9" fontId="3" fillId="0" borderId="1" xfId="0" applyNumberFormat="1" applyFont="1" applyBorder="1" applyAlignment="1">
      <alignment horizontal="left" vertical="center"/>
    </xf>
    <xf numFmtId="9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9" fontId="3" fillId="0" borderId="1" xfId="2" applyFont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3" fontId="2" fillId="0" borderId="0" xfId="1" applyFont="1" applyBorder="1" applyAlignment="1">
      <alignment vertical="center"/>
    </xf>
    <xf numFmtId="43" fontId="3" fillId="0" borderId="0" xfId="1" applyFont="1" applyBorder="1" applyAlignment="1">
      <alignment vertical="center"/>
    </xf>
    <xf numFmtId="43" fontId="3" fillId="4" borderId="1" xfId="1" applyFont="1" applyFill="1" applyBorder="1" applyAlignment="1">
      <alignment vertical="center" wrapText="1"/>
    </xf>
    <xf numFmtId="43" fontId="3" fillId="0" borderId="1" xfId="1" applyFont="1" applyBorder="1" applyAlignment="1">
      <alignment horizontal="left" vertical="center"/>
    </xf>
    <xf numFmtId="43" fontId="2" fillId="0" borderId="1" xfId="1" applyFont="1" applyBorder="1" applyAlignment="1">
      <alignment vertical="center"/>
    </xf>
    <xf numFmtId="43" fontId="2" fillId="0" borderId="1" xfId="1" applyFont="1" applyBorder="1" applyAlignment="1">
      <alignment horizontal="left" vertical="center"/>
    </xf>
    <xf numFmtId="43" fontId="2" fillId="0" borderId="1" xfId="1" applyFont="1" applyBorder="1" applyAlignment="1">
      <alignment horizontal="right" vertical="center"/>
    </xf>
    <xf numFmtId="43" fontId="3" fillId="3" borderId="1" xfId="1" applyFont="1" applyFill="1" applyBorder="1" applyAlignment="1">
      <alignment vertical="center"/>
    </xf>
    <xf numFmtId="43" fontId="3" fillId="0" borderId="0" xfId="1" applyFont="1" applyBorder="1" applyAlignment="1">
      <alignment horizontal="center" vertical="center"/>
    </xf>
    <xf numFmtId="43" fontId="2" fillId="0" borderId="0" xfId="1" applyFont="1" applyBorder="1" applyAlignment="1">
      <alignment horizontal="center" vertical="center"/>
    </xf>
    <xf numFmtId="43" fontId="3" fillId="4" borderId="1" xfId="1" applyFont="1" applyFill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/>
    </xf>
    <xf numFmtId="43" fontId="3" fillId="0" borderId="1" xfId="1" applyFont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43" fontId="2" fillId="0" borderId="0" xfId="1" applyFont="1" applyAlignment="1">
      <alignment vertical="center"/>
    </xf>
    <xf numFmtId="43" fontId="3" fillId="0" borderId="0" xfId="1" applyFont="1" applyAlignment="1">
      <alignment vertical="center"/>
    </xf>
    <xf numFmtId="43" fontId="3" fillId="0" borderId="1" xfId="1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3" fontId="3" fillId="4" borderId="6" xfId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3" fontId="3" fillId="3" borderId="6" xfId="1" applyFont="1" applyFill="1" applyBorder="1" applyAlignment="1">
      <alignment horizontal="center" vertical="center" wrapText="1"/>
    </xf>
    <xf numFmtId="43" fontId="2" fillId="0" borderId="1" xfId="0" applyNumberFormat="1" applyFont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43" fontId="2" fillId="3" borderId="1" xfId="0" applyNumberFormat="1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B2:N182"/>
  <sheetViews>
    <sheetView zoomScale="70" zoomScaleNormal="70" workbookViewId="0">
      <selection activeCell="M10" sqref="M10"/>
    </sheetView>
  </sheetViews>
  <sheetFormatPr baseColWidth="10" defaultColWidth="8.88671875" defaultRowHeight="14.4" x14ac:dyDescent="0.3"/>
  <cols>
    <col min="1" max="1" width="8.88671875" style="8"/>
    <col min="2" max="2" width="8.5546875" style="11" bestFit="1" customWidth="1"/>
    <col min="3" max="3" width="4.44140625" style="8" bestFit="1" customWidth="1"/>
    <col min="4" max="4" width="5.5546875" style="8" bestFit="1" customWidth="1"/>
    <col min="5" max="5" width="61.5546875" style="8" bestFit="1" customWidth="1"/>
    <col min="6" max="6" width="16.6640625" style="31" bestFit="1" customWidth="1"/>
    <col min="7" max="7" width="22.33203125" style="31" customWidth="1"/>
    <col min="8" max="8" width="16.44140625" style="31" customWidth="1"/>
    <col min="9" max="9" width="17.21875" style="31" customWidth="1"/>
    <col min="10" max="10" width="14.77734375" style="31" customWidth="1"/>
    <col min="11" max="11" width="18.44140625" style="31" customWidth="1"/>
    <col min="12" max="12" width="17.33203125" style="31" customWidth="1"/>
    <col min="13" max="13" width="17.6640625" style="8" bestFit="1" customWidth="1"/>
    <col min="14" max="16384" width="8.88671875" style="8"/>
  </cols>
  <sheetData>
    <row r="2" spans="2:13" ht="28.95" customHeight="1" x14ac:dyDescent="0.3">
      <c r="B2" s="70" t="s">
        <v>0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</row>
    <row r="3" spans="2:13" x14ac:dyDescent="0.3">
      <c r="G3" s="39"/>
      <c r="H3" s="39"/>
      <c r="I3" s="39"/>
    </row>
    <row r="4" spans="2:13" x14ac:dyDescent="0.3">
      <c r="C4" s="10"/>
      <c r="D4" s="10"/>
      <c r="E4" s="10" t="s">
        <v>147</v>
      </c>
      <c r="H4" s="40"/>
    </row>
    <row r="5" spans="2:13" x14ac:dyDescent="0.3">
      <c r="B5" s="9"/>
      <c r="C5" s="10"/>
      <c r="D5" s="10"/>
      <c r="E5" s="10"/>
      <c r="F5" s="32"/>
      <c r="G5" s="32"/>
      <c r="H5" s="39"/>
      <c r="I5" s="32"/>
      <c r="J5" s="32"/>
      <c r="K5" s="32"/>
      <c r="L5" s="32"/>
      <c r="M5" s="10"/>
    </row>
    <row r="6" spans="2:13" ht="26.4" customHeight="1" x14ac:dyDescent="0.3">
      <c r="B6" s="71" t="s">
        <v>151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</row>
    <row r="7" spans="2:13" s="12" customFormat="1" ht="58.2" customHeight="1" x14ac:dyDescent="0.3">
      <c r="B7" s="26" t="s">
        <v>138</v>
      </c>
      <c r="C7" s="7"/>
      <c r="D7" s="7"/>
      <c r="E7" s="13" t="s">
        <v>150</v>
      </c>
      <c r="F7" s="33" t="s">
        <v>139</v>
      </c>
      <c r="G7" s="33" t="s">
        <v>140</v>
      </c>
      <c r="H7" s="41" t="s">
        <v>141</v>
      </c>
      <c r="I7" s="33" t="s">
        <v>142</v>
      </c>
      <c r="J7" s="33" t="s">
        <v>143</v>
      </c>
      <c r="K7" s="33" t="s">
        <v>144</v>
      </c>
      <c r="L7" s="33" t="s">
        <v>145</v>
      </c>
      <c r="M7" s="14" t="s">
        <v>396</v>
      </c>
    </row>
    <row r="8" spans="2:13" ht="28.95" customHeight="1" x14ac:dyDescent="0.3">
      <c r="B8" s="27">
        <v>70</v>
      </c>
      <c r="C8" s="1"/>
      <c r="D8" s="1"/>
      <c r="E8" s="1" t="s">
        <v>72</v>
      </c>
      <c r="F8" s="34">
        <f>SUM(F9)</f>
        <v>0</v>
      </c>
      <c r="G8" s="34">
        <f t="shared" ref="G8:K9" si="0">SUM(G9)</f>
        <v>0</v>
      </c>
      <c r="H8" s="34">
        <f t="shared" si="0"/>
        <v>0</v>
      </c>
      <c r="I8" s="34">
        <f t="shared" si="0"/>
        <v>0</v>
      </c>
      <c r="J8" s="34">
        <f t="shared" si="0"/>
        <v>0</v>
      </c>
      <c r="K8" s="34">
        <f>SUM(K9)</f>
        <v>0</v>
      </c>
      <c r="L8" s="34">
        <f>SUM(L9)</f>
        <v>0</v>
      </c>
      <c r="M8" s="25" t="e">
        <f>J8/I8</f>
        <v>#DIV/0!</v>
      </c>
    </row>
    <row r="9" spans="2:13" x14ac:dyDescent="0.3">
      <c r="B9" s="27"/>
      <c r="C9" s="1">
        <v>708</v>
      </c>
      <c r="D9" s="1"/>
      <c r="E9" s="1" t="s">
        <v>25</v>
      </c>
      <c r="F9" s="34">
        <f>SUM(F10)</f>
        <v>0</v>
      </c>
      <c r="G9" s="34">
        <f t="shared" si="0"/>
        <v>0</v>
      </c>
      <c r="H9" s="34">
        <f t="shared" si="0"/>
        <v>0</v>
      </c>
      <c r="I9" s="34">
        <f t="shared" si="0"/>
        <v>0</v>
      </c>
      <c r="J9" s="34">
        <f t="shared" si="0"/>
        <v>0</v>
      </c>
      <c r="K9" s="34">
        <f>SUM(K10)</f>
        <v>0</v>
      </c>
      <c r="L9" s="34">
        <f>J9-K9</f>
        <v>0</v>
      </c>
      <c r="M9" s="15"/>
    </row>
    <row r="10" spans="2:13" x14ac:dyDescent="0.3">
      <c r="B10" s="28"/>
      <c r="C10" s="3"/>
      <c r="D10" s="3">
        <v>7080</v>
      </c>
      <c r="E10" s="3" t="s">
        <v>1</v>
      </c>
      <c r="F10" s="35"/>
      <c r="G10" s="35"/>
      <c r="H10" s="42"/>
      <c r="I10" s="35"/>
      <c r="J10" s="35"/>
      <c r="K10" s="35"/>
      <c r="L10" s="36">
        <f>J10-K10</f>
        <v>0</v>
      </c>
      <c r="M10" s="24" t="e">
        <f>J10/I10</f>
        <v>#DIV/0!</v>
      </c>
    </row>
    <row r="11" spans="2:13" ht="29.4" customHeight="1" x14ac:dyDescent="0.3">
      <c r="B11" s="27">
        <v>71</v>
      </c>
      <c r="C11" s="1"/>
      <c r="D11" s="1"/>
      <c r="E11" s="1" t="s">
        <v>71</v>
      </c>
      <c r="F11" s="34">
        <f>SUM(F12,F14,F17)</f>
        <v>0</v>
      </c>
      <c r="G11" s="34">
        <f t="shared" ref="G11:I11" si="1">SUM(G12,G14,G17)</f>
        <v>0</v>
      </c>
      <c r="H11" s="34">
        <f t="shared" si="1"/>
        <v>0</v>
      </c>
      <c r="I11" s="34">
        <f t="shared" si="1"/>
        <v>0</v>
      </c>
      <c r="J11" s="34">
        <f>SUM(J12,J14,J17)</f>
        <v>0</v>
      </c>
      <c r="K11" s="34">
        <f>SUM(K12,K14,K17)</f>
        <v>0</v>
      </c>
      <c r="L11" s="34">
        <f>SUM(L12,L14,L17)</f>
        <v>0</v>
      </c>
      <c r="M11" s="25" t="e">
        <f>J11/I11</f>
        <v>#DIV/0!</v>
      </c>
    </row>
    <row r="12" spans="2:13" x14ac:dyDescent="0.3">
      <c r="B12" s="27"/>
      <c r="C12" s="1">
        <v>714</v>
      </c>
      <c r="D12" s="1"/>
      <c r="E12" s="17" t="s">
        <v>2</v>
      </c>
      <c r="F12" s="34">
        <f>SUM(F13)</f>
        <v>0</v>
      </c>
      <c r="G12" s="34">
        <f t="shared" ref="G12:J12" si="2">SUM(G13)</f>
        <v>0</v>
      </c>
      <c r="H12" s="34">
        <f t="shared" si="2"/>
        <v>0</v>
      </c>
      <c r="I12" s="34">
        <f t="shared" si="2"/>
        <v>0</v>
      </c>
      <c r="J12" s="34">
        <f t="shared" si="2"/>
        <v>0</v>
      </c>
      <c r="K12" s="34">
        <f>SUM(K13)</f>
        <v>0</v>
      </c>
      <c r="L12" s="34">
        <f t="shared" ref="L10:L14" si="3">J12-K12</f>
        <v>0</v>
      </c>
      <c r="M12" s="15"/>
    </row>
    <row r="13" spans="2:13" x14ac:dyDescent="0.3">
      <c r="B13" s="28"/>
      <c r="C13" s="3"/>
      <c r="D13" s="3">
        <v>7140</v>
      </c>
      <c r="E13" s="3" t="s">
        <v>2</v>
      </c>
      <c r="F13" s="35"/>
      <c r="G13" s="35"/>
      <c r="H13" s="42"/>
      <c r="I13" s="35"/>
      <c r="J13" s="35"/>
      <c r="K13" s="35"/>
      <c r="L13" s="35">
        <f>J13-K13</f>
        <v>0</v>
      </c>
      <c r="M13" s="24" t="e">
        <f>J13/I13</f>
        <v>#DIV/0!</v>
      </c>
    </row>
    <row r="14" spans="2:13" x14ac:dyDescent="0.3">
      <c r="B14" s="28"/>
      <c r="C14" s="17">
        <v>715</v>
      </c>
      <c r="D14" s="17"/>
      <c r="E14" s="17" t="s">
        <v>3</v>
      </c>
      <c r="F14" s="34">
        <f>SUM(F15:F16)</f>
        <v>0</v>
      </c>
      <c r="G14" s="34">
        <f t="shared" ref="G14:K14" si="4">SUM(G15:G16)</f>
        <v>0</v>
      </c>
      <c r="H14" s="34">
        <f t="shared" si="4"/>
        <v>0</v>
      </c>
      <c r="I14" s="34">
        <f t="shared" si="4"/>
        <v>0</v>
      </c>
      <c r="J14" s="34">
        <f t="shared" si="4"/>
        <v>0</v>
      </c>
      <c r="K14" s="34">
        <f t="shared" si="4"/>
        <v>0</v>
      </c>
      <c r="L14" s="34">
        <f t="shared" si="3"/>
        <v>0</v>
      </c>
      <c r="M14" s="16"/>
    </row>
    <row r="15" spans="2:13" x14ac:dyDescent="0.3">
      <c r="B15" s="28"/>
      <c r="C15" s="3"/>
      <c r="D15" s="3">
        <v>7151</v>
      </c>
      <c r="E15" s="3" t="s">
        <v>3</v>
      </c>
      <c r="F15" s="35"/>
      <c r="G15" s="35"/>
      <c r="H15" s="42"/>
      <c r="I15" s="35"/>
      <c r="J15" s="35"/>
      <c r="K15" s="35"/>
      <c r="L15" s="35">
        <f t="shared" ref="L15:L17" si="5">J15-K15</f>
        <v>0</v>
      </c>
      <c r="M15" s="24" t="e">
        <f t="shared" ref="M15:M16" si="6">J15/I15</f>
        <v>#DIV/0!</v>
      </c>
    </row>
    <row r="16" spans="2:13" x14ac:dyDescent="0.3">
      <c r="B16" s="28"/>
      <c r="C16" s="3"/>
      <c r="D16" s="3">
        <v>7158</v>
      </c>
      <c r="E16" s="3" t="s">
        <v>26</v>
      </c>
      <c r="F16" s="35"/>
      <c r="G16" s="35"/>
      <c r="H16" s="42"/>
      <c r="I16" s="35"/>
      <c r="J16" s="35"/>
      <c r="K16" s="35"/>
      <c r="L16" s="35">
        <f t="shared" si="5"/>
        <v>0</v>
      </c>
      <c r="M16" s="24" t="e">
        <f t="shared" si="6"/>
        <v>#DIV/0!</v>
      </c>
    </row>
    <row r="17" spans="2:13" x14ac:dyDescent="0.3">
      <c r="B17" s="28"/>
      <c r="C17" s="17">
        <v>718</v>
      </c>
      <c r="D17" s="17"/>
      <c r="E17" s="17" t="s">
        <v>27</v>
      </c>
      <c r="F17" s="34">
        <f>SUM(F18:F20)</f>
        <v>0</v>
      </c>
      <c r="G17" s="34">
        <f t="shared" ref="G17:K17" si="7">SUM(G18:G20)</f>
        <v>0</v>
      </c>
      <c r="H17" s="34">
        <f t="shared" si="7"/>
        <v>0</v>
      </c>
      <c r="I17" s="34">
        <f t="shared" si="7"/>
        <v>0</v>
      </c>
      <c r="J17" s="34">
        <f t="shared" si="7"/>
        <v>0</v>
      </c>
      <c r="K17" s="34">
        <f t="shared" si="7"/>
        <v>0</v>
      </c>
      <c r="L17" s="34">
        <f t="shared" si="5"/>
        <v>0</v>
      </c>
      <c r="M17" s="16"/>
    </row>
    <row r="18" spans="2:13" x14ac:dyDescent="0.3">
      <c r="B18" s="28"/>
      <c r="C18" s="17"/>
      <c r="D18" s="3">
        <v>7181</v>
      </c>
      <c r="E18" s="3" t="s">
        <v>28</v>
      </c>
      <c r="F18" s="35"/>
      <c r="G18" s="35"/>
      <c r="H18" s="42"/>
      <c r="I18" s="35"/>
      <c r="J18" s="35"/>
      <c r="K18" s="35"/>
      <c r="L18" s="35">
        <f t="shared" ref="L18:L81" si="8">J18-K18</f>
        <v>0</v>
      </c>
      <c r="M18" s="24" t="e">
        <f t="shared" ref="M18:M20" si="9">J18/I18</f>
        <v>#DIV/0!</v>
      </c>
    </row>
    <row r="19" spans="2:13" x14ac:dyDescent="0.3">
      <c r="B19" s="28"/>
      <c r="C19" s="3"/>
      <c r="D19" s="3">
        <v>7182</v>
      </c>
      <c r="E19" s="18" t="s">
        <v>29</v>
      </c>
      <c r="F19" s="35"/>
      <c r="G19" s="35"/>
      <c r="H19" s="42"/>
      <c r="I19" s="35"/>
      <c r="J19" s="35"/>
      <c r="K19" s="35"/>
      <c r="L19" s="35">
        <f t="shared" si="8"/>
        <v>0</v>
      </c>
      <c r="M19" s="24" t="e">
        <f t="shared" si="9"/>
        <v>#DIV/0!</v>
      </c>
    </row>
    <row r="20" spans="2:13" x14ac:dyDescent="0.3">
      <c r="B20" s="28"/>
      <c r="C20" s="3"/>
      <c r="D20" s="3">
        <v>7188</v>
      </c>
      <c r="E20" s="18" t="s">
        <v>4</v>
      </c>
      <c r="F20" s="35"/>
      <c r="G20" s="35"/>
      <c r="H20" s="42"/>
      <c r="I20" s="35"/>
      <c r="J20" s="35"/>
      <c r="K20" s="35"/>
      <c r="L20" s="35">
        <f t="shared" si="8"/>
        <v>0</v>
      </c>
      <c r="M20" s="24" t="e">
        <f t="shared" si="9"/>
        <v>#DIV/0!</v>
      </c>
    </row>
    <row r="21" spans="2:13" ht="28.2" customHeight="1" x14ac:dyDescent="0.3">
      <c r="B21" s="27">
        <v>72</v>
      </c>
      <c r="C21" s="1"/>
      <c r="D21" s="1"/>
      <c r="E21" s="1" t="s">
        <v>60</v>
      </c>
      <c r="F21" s="34">
        <f>SUM(F22,F28,F33,F39)</f>
        <v>0</v>
      </c>
      <c r="G21" s="34">
        <f t="shared" ref="G21:L21" si="10">SUM(G22,G28,G33,G39)</f>
        <v>0</v>
      </c>
      <c r="H21" s="34">
        <f t="shared" si="10"/>
        <v>0</v>
      </c>
      <c r="I21" s="34">
        <f t="shared" si="10"/>
        <v>0</v>
      </c>
      <c r="J21" s="34">
        <f t="shared" si="10"/>
        <v>0</v>
      </c>
      <c r="K21" s="34">
        <f t="shared" si="10"/>
        <v>0</v>
      </c>
      <c r="L21" s="34">
        <f t="shared" si="10"/>
        <v>0</v>
      </c>
      <c r="M21" s="25" t="e">
        <f>J21/I21</f>
        <v>#DIV/0!</v>
      </c>
    </row>
    <row r="22" spans="2:13" x14ac:dyDescent="0.3">
      <c r="B22" s="28"/>
      <c r="C22" s="1">
        <v>725</v>
      </c>
      <c r="D22" s="1"/>
      <c r="E22" s="1" t="s">
        <v>30</v>
      </c>
      <c r="F22" s="36">
        <f>SUM(F23:F27)</f>
        <v>0</v>
      </c>
      <c r="G22" s="36">
        <f t="shared" ref="G22:K22" si="11">SUM(G23:G27)</f>
        <v>0</v>
      </c>
      <c r="H22" s="36">
        <f t="shared" si="11"/>
        <v>0</v>
      </c>
      <c r="I22" s="36">
        <f t="shared" si="11"/>
        <v>0</v>
      </c>
      <c r="J22" s="36">
        <f t="shared" si="11"/>
        <v>0</v>
      </c>
      <c r="K22" s="36">
        <f t="shared" si="11"/>
        <v>0</v>
      </c>
      <c r="L22" s="43">
        <f t="shared" si="8"/>
        <v>0</v>
      </c>
      <c r="M22" s="15"/>
    </row>
    <row r="23" spans="2:13" x14ac:dyDescent="0.3">
      <c r="B23" s="28"/>
      <c r="C23" s="19"/>
      <c r="D23" s="19">
        <v>7251</v>
      </c>
      <c r="E23" s="19" t="s">
        <v>31</v>
      </c>
      <c r="F23" s="36"/>
      <c r="G23" s="34"/>
      <c r="H23" s="34"/>
      <c r="I23" s="34"/>
      <c r="J23" s="34"/>
      <c r="K23" s="34"/>
      <c r="L23" s="35">
        <f t="shared" si="8"/>
        <v>0</v>
      </c>
      <c r="M23" s="24" t="e">
        <f t="shared" ref="M23:M27" si="12">J23/I23</f>
        <v>#DIV/0!</v>
      </c>
    </row>
    <row r="24" spans="2:13" x14ac:dyDescent="0.3">
      <c r="B24" s="28"/>
      <c r="C24" s="19"/>
      <c r="D24" s="19">
        <v>7252</v>
      </c>
      <c r="E24" s="19" t="s">
        <v>32</v>
      </c>
      <c r="F24" s="36"/>
      <c r="G24" s="34"/>
      <c r="H24" s="34"/>
      <c r="I24" s="34"/>
      <c r="J24" s="34"/>
      <c r="K24" s="34"/>
      <c r="L24" s="35">
        <f t="shared" si="8"/>
        <v>0</v>
      </c>
      <c r="M24" s="24" t="e">
        <f t="shared" si="12"/>
        <v>#DIV/0!</v>
      </c>
    </row>
    <row r="25" spans="2:13" x14ac:dyDescent="0.3">
      <c r="B25" s="28"/>
      <c r="C25" s="19"/>
      <c r="D25" s="19">
        <v>7253</v>
      </c>
      <c r="E25" s="19" t="s">
        <v>33</v>
      </c>
      <c r="F25" s="36"/>
      <c r="G25" s="34"/>
      <c r="H25" s="34"/>
      <c r="I25" s="34"/>
      <c r="J25" s="34"/>
      <c r="K25" s="34"/>
      <c r="L25" s="35">
        <f t="shared" si="8"/>
        <v>0</v>
      </c>
      <c r="M25" s="24" t="e">
        <f t="shared" si="12"/>
        <v>#DIV/0!</v>
      </c>
    </row>
    <row r="26" spans="2:13" x14ac:dyDescent="0.3">
      <c r="B26" s="28"/>
      <c r="C26" s="19"/>
      <c r="D26" s="19">
        <v>7254</v>
      </c>
      <c r="E26" s="19" t="s">
        <v>34</v>
      </c>
      <c r="F26" s="36"/>
      <c r="G26" s="34"/>
      <c r="H26" s="34"/>
      <c r="I26" s="34"/>
      <c r="J26" s="34"/>
      <c r="K26" s="34"/>
      <c r="L26" s="35">
        <f t="shared" si="8"/>
        <v>0</v>
      </c>
      <c r="M26" s="24" t="e">
        <f t="shared" si="12"/>
        <v>#DIV/0!</v>
      </c>
    </row>
    <row r="27" spans="2:13" x14ac:dyDescent="0.3">
      <c r="B27" s="28"/>
      <c r="C27" s="19"/>
      <c r="D27" s="19">
        <v>7258</v>
      </c>
      <c r="E27" s="19" t="s">
        <v>35</v>
      </c>
      <c r="F27" s="36"/>
      <c r="G27" s="34"/>
      <c r="H27" s="34"/>
      <c r="I27" s="34"/>
      <c r="J27" s="34"/>
      <c r="K27" s="34"/>
      <c r="L27" s="35">
        <f t="shared" si="8"/>
        <v>0</v>
      </c>
      <c r="M27" s="24" t="e">
        <f t="shared" si="12"/>
        <v>#DIV/0!</v>
      </c>
    </row>
    <row r="28" spans="2:13" x14ac:dyDescent="0.3">
      <c r="B28" s="28"/>
      <c r="C28" s="1">
        <v>726</v>
      </c>
      <c r="D28" s="1"/>
      <c r="E28" s="1" t="s">
        <v>36</v>
      </c>
      <c r="F28" s="36">
        <f>SUM(F29:F32)</f>
        <v>0</v>
      </c>
      <c r="G28" s="36">
        <f t="shared" ref="G28:K28" si="13">SUM(G29:G32)</f>
        <v>0</v>
      </c>
      <c r="H28" s="36">
        <f t="shared" si="13"/>
        <v>0</v>
      </c>
      <c r="I28" s="36">
        <f t="shared" si="13"/>
        <v>0</v>
      </c>
      <c r="J28" s="36">
        <f t="shared" si="13"/>
        <v>0</v>
      </c>
      <c r="K28" s="36">
        <f t="shared" si="13"/>
        <v>0</v>
      </c>
      <c r="L28" s="43">
        <f t="shared" si="8"/>
        <v>0</v>
      </c>
      <c r="M28" s="15"/>
    </row>
    <row r="29" spans="2:13" x14ac:dyDescent="0.3">
      <c r="B29" s="28"/>
      <c r="C29" s="20"/>
      <c r="D29" s="20">
        <v>7261</v>
      </c>
      <c r="E29" s="19" t="s">
        <v>5</v>
      </c>
      <c r="F29" s="37"/>
      <c r="G29" s="36"/>
      <c r="H29" s="36"/>
      <c r="I29" s="37"/>
      <c r="J29" s="36"/>
      <c r="K29" s="36"/>
      <c r="L29" s="35">
        <f t="shared" si="8"/>
        <v>0</v>
      </c>
      <c r="M29" s="24" t="e">
        <f t="shared" ref="M29:M32" si="14">J29/I29</f>
        <v>#DIV/0!</v>
      </c>
    </row>
    <row r="30" spans="2:13" x14ac:dyDescent="0.3">
      <c r="B30" s="28"/>
      <c r="C30" s="3"/>
      <c r="D30" s="3">
        <v>7262</v>
      </c>
      <c r="E30" s="3" t="s">
        <v>6</v>
      </c>
      <c r="F30" s="35"/>
      <c r="G30" s="35"/>
      <c r="H30" s="42"/>
      <c r="I30" s="35"/>
      <c r="J30" s="35"/>
      <c r="K30" s="35"/>
      <c r="L30" s="35">
        <f t="shared" si="8"/>
        <v>0</v>
      </c>
      <c r="M30" s="24" t="e">
        <f t="shared" si="14"/>
        <v>#DIV/0!</v>
      </c>
    </row>
    <row r="31" spans="2:13" x14ac:dyDescent="0.3">
      <c r="B31" s="28"/>
      <c r="C31" s="3"/>
      <c r="D31" s="3">
        <v>7263</v>
      </c>
      <c r="E31" s="3" t="s">
        <v>7</v>
      </c>
      <c r="F31" s="35"/>
      <c r="G31" s="35"/>
      <c r="H31" s="42"/>
      <c r="I31" s="35"/>
      <c r="J31" s="35"/>
      <c r="K31" s="35"/>
      <c r="L31" s="35">
        <f t="shared" si="8"/>
        <v>0</v>
      </c>
      <c r="M31" s="24" t="e">
        <f t="shared" si="14"/>
        <v>#DIV/0!</v>
      </c>
    </row>
    <row r="32" spans="2:13" x14ac:dyDescent="0.3">
      <c r="B32" s="28"/>
      <c r="C32" s="3"/>
      <c r="D32" s="3">
        <v>7268</v>
      </c>
      <c r="E32" s="3" t="s">
        <v>37</v>
      </c>
      <c r="F32" s="35"/>
      <c r="G32" s="35"/>
      <c r="H32" s="42"/>
      <c r="I32" s="35"/>
      <c r="J32" s="35"/>
      <c r="K32" s="35"/>
      <c r="L32" s="35">
        <f t="shared" si="8"/>
        <v>0</v>
      </c>
      <c r="M32" s="24" t="e">
        <f t="shared" si="14"/>
        <v>#DIV/0!</v>
      </c>
    </row>
    <row r="33" spans="2:13" x14ac:dyDescent="0.3">
      <c r="B33" s="28"/>
      <c r="C33" s="17">
        <v>727</v>
      </c>
      <c r="D33" s="17"/>
      <c r="E33" s="17" t="s">
        <v>38</v>
      </c>
      <c r="F33" s="35">
        <f>SUM(F34:F38)</f>
        <v>0</v>
      </c>
      <c r="G33" s="35">
        <f t="shared" ref="G33:K33" si="15">SUM(G34:G38)</f>
        <v>0</v>
      </c>
      <c r="H33" s="35">
        <f t="shared" si="15"/>
        <v>0</v>
      </c>
      <c r="I33" s="35">
        <f t="shared" si="15"/>
        <v>0</v>
      </c>
      <c r="J33" s="35">
        <f t="shared" si="15"/>
        <v>0</v>
      </c>
      <c r="K33" s="35">
        <f t="shared" si="15"/>
        <v>0</v>
      </c>
      <c r="L33" s="43">
        <f t="shared" si="8"/>
        <v>0</v>
      </c>
      <c r="M33" s="16"/>
    </row>
    <row r="34" spans="2:13" x14ac:dyDescent="0.3">
      <c r="B34" s="28"/>
      <c r="C34" s="3"/>
      <c r="D34" s="3">
        <v>7273</v>
      </c>
      <c r="E34" s="3" t="s">
        <v>41</v>
      </c>
      <c r="F34" s="35"/>
      <c r="G34" s="35"/>
      <c r="H34" s="42"/>
      <c r="I34" s="35"/>
      <c r="J34" s="35"/>
      <c r="K34" s="35"/>
      <c r="L34" s="35">
        <f t="shared" si="8"/>
        <v>0</v>
      </c>
      <c r="M34" s="24" t="e">
        <f t="shared" ref="M34:M38" si="16">J34/I34</f>
        <v>#DIV/0!</v>
      </c>
    </row>
    <row r="35" spans="2:13" x14ac:dyDescent="0.3">
      <c r="B35" s="28"/>
      <c r="C35" s="3"/>
      <c r="D35" s="3">
        <v>7274</v>
      </c>
      <c r="E35" s="3" t="s">
        <v>40</v>
      </c>
      <c r="F35" s="35"/>
      <c r="G35" s="35"/>
      <c r="H35" s="42"/>
      <c r="I35" s="35"/>
      <c r="J35" s="35"/>
      <c r="K35" s="35"/>
      <c r="L35" s="35">
        <f t="shared" si="8"/>
        <v>0</v>
      </c>
      <c r="M35" s="24" t="e">
        <f t="shared" si="16"/>
        <v>#DIV/0!</v>
      </c>
    </row>
    <row r="36" spans="2:13" x14ac:dyDescent="0.3">
      <c r="B36" s="28"/>
      <c r="C36" s="3"/>
      <c r="D36" s="3">
        <v>7276</v>
      </c>
      <c r="E36" s="3" t="s">
        <v>39</v>
      </c>
      <c r="F36" s="35"/>
      <c r="G36" s="35"/>
      <c r="H36" s="42"/>
      <c r="I36" s="35"/>
      <c r="J36" s="35"/>
      <c r="K36" s="35"/>
      <c r="L36" s="35">
        <f t="shared" si="8"/>
        <v>0</v>
      </c>
      <c r="M36" s="24" t="e">
        <f t="shared" si="16"/>
        <v>#DIV/0!</v>
      </c>
    </row>
    <row r="37" spans="2:13" x14ac:dyDescent="0.3">
      <c r="B37" s="28"/>
      <c r="C37" s="3"/>
      <c r="D37" s="3">
        <v>7277</v>
      </c>
      <c r="E37" s="3" t="s">
        <v>42</v>
      </c>
      <c r="F37" s="35"/>
      <c r="G37" s="35"/>
      <c r="H37" s="42"/>
      <c r="I37" s="35"/>
      <c r="J37" s="35"/>
      <c r="K37" s="35"/>
      <c r="L37" s="35">
        <f t="shared" si="8"/>
        <v>0</v>
      </c>
      <c r="M37" s="24" t="e">
        <f t="shared" si="16"/>
        <v>#DIV/0!</v>
      </c>
    </row>
    <row r="38" spans="2:13" x14ac:dyDescent="0.3">
      <c r="B38" s="28"/>
      <c r="C38" s="3"/>
      <c r="D38" s="3">
        <v>7278</v>
      </c>
      <c r="E38" s="3" t="s">
        <v>43</v>
      </c>
      <c r="F38" s="35"/>
      <c r="G38" s="35"/>
      <c r="H38" s="42"/>
      <c r="I38" s="35"/>
      <c r="J38" s="35"/>
      <c r="K38" s="35"/>
      <c r="L38" s="35">
        <f t="shared" si="8"/>
        <v>0</v>
      </c>
      <c r="M38" s="24" t="e">
        <f t="shared" si="16"/>
        <v>#DIV/0!</v>
      </c>
    </row>
    <row r="39" spans="2:13" x14ac:dyDescent="0.3">
      <c r="B39" s="28"/>
      <c r="C39" s="17">
        <v>728</v>
      </c>
      <c r="D39" s="17"/>
      <c r="E39" s="17" t="s">
        <v>8</v>
      </c>
      <c r="F39" s="35">
        <f>SUM(F40)</f>
        <v>0</v>
      </c>
      <c r="G39" s="35">
        <f t="shared" ref="G39:K39" si="17">SUM(G40)</f>
        <v>0</v>
      </c>
      <c r="H39" s="35">
        <f t="shared" si="17"/>
        <v>0</v>
      </c>
      <c r="I39" s="35">
        <f t="shared" si="17"/>
        <v>0</v>
      </c>
      <c r="J39" s="35">
        <f t="shared" si="17"/>
        <v>0</v>
      </c>
      <c r="K39" s="35">
        <f t="shared" si="17"/>
        <v>0</v>
      </c>
      <c r="L39" s="43">
        <f t="shared" si="8"/>
        <v>0</v>
      </c>
      <c r="M39" s="16"/>
    </row>
    <row r="40" spans="2:13" x14ac:dyDescent="0.3">
      <c r="B40" s="28"/>
      <c r="C40" s="3"/>
      <c r="D40" s="3">
        <v>7280</v>
      </c>
      <c r="E40" s="3" t="s">
        <v>8</v>
      </c>
      <c r="F40" s="35"/>
      <c r="G40" s="35"/>
      <c r="H40" s="42"/>
      <c r="I40" s="35"/>
      <c r="J40" s="35"/>
      <c r="K40" s="35"/>
      <c r="L40" s="35">
        <f t="shared" si="8"/>
        <v>0</v>
      </c>
      <c r="M40" s="24" t="e">
        <f>J40/I40</f>
        <v>#DIV/0!</v>
      </c>
    </row>
    <row r="41" spans="2:13" ht="28.95" customHeight="1" x14ac:dyDescent="0.3">
      <c r="B41" s="27">
        <v>74</v>
      </c>
      <c r="C41" s="1"/>
      <c r="D41" s="1"/>
      <c r="E41" s="17" t="s">
        <v>59</v>
      </c>
      <c r="F41" s="34">
        <f>SUM(F42,F46)</f>
        <v>0</v>
      </c>
      <c r="G41" s="34">
        <f t="shared" ref="G41:K41" si="18">SUM(G42,G46)</f>
        <v>0</v>
      </c>
      <c r="H41" s="34">
        <f t="shared" si="18"/>
        <v>0</v>
      </c>
      <c r="I41" s="34">
        <f t="shared" si="18"/>
        <v>0</v>
      </c>
      <c r="J41" s="34">
        <f t="shared" si="18"/>
        <v>0</v>
      </c>
      <c r="K41" s="34">
        <f t="shared" si="18"/>
        <v>0</v>
      </c>
      <c r="L41" s="34">
        <f>SUM(L42,L46)</f>
        <v>0</v>
      </c>
      <c r="M41" s="25" t="e">
        <f>J41/I41</f>
        <v>#DIV/0!</v>
      </c>
    </row>
    <row r="42" spans="2:13" x14ac:dyDescent="0.3">
      <c r="B42" s="27"/>
      <c r="C42" s="1">
        <v>743</v>
      </c>
      <c r="D42" s="1"/>
      <c r="E42" s="17" t="s">
        <v>44</v>
      </c>
      <c r="F42" s="34">
        <f>SUM(F43:F45)</f>
        <v>0</v>
      </c>
      <c r="G42" s="34">
        <f t="shared" ref="G42:K42" si="19">SUM(G43:G45)</f>
        <v>0</v>
      </c>
      <c r="H42" s="34">
        <f t="shared" si="19"/>
        <v>0</v>
      </c>
      <c r="I42" s="34">
        <f t="shared" si="19"/>
        <v>0</v>
      </c>
      <c r="J42" s="34">
        <f t="shared" si="19"/>
        <v>0</v>
      </c>
      <c r="K42" s="34">
        <f t="shared" si="19"/>
        <v>0</v>
      </c>
      <c r="L42" s="34">
        <f t="shared" si="8"/>
        <v>0</v>
      </c>
      <c r="M42" s="16"/>
    </row>
    <row r="43" spans="2:13" x14ac:dyDescent="0.3">
      <c r="B43" s="27"/>
      <c r="C43" s="1"/>
      <c r="D43" s="19">
        <v>7431</v>
      </c>
      <c r="E43" s="3" t="s">
        <v>45</v>
      </c>
      <c r="F43" s="34"/>
      <c r="G43" s="34"/>
      <c r="H43" s="34"/>
      <c r="I43" s="34"/>
      <c r="J43" s="34"/>
      <c r="K43" s="34"/>
      <c r="L43" s="36">
        <f t="shared" si="8"/>
        <v>0</v>
      </c>
      <c r="M43" s="24" t="e">
        <f t="shared" ref="M43:M45" si="20">J43/I43</f>
        <v>#DIV/0!</v>
      </c>
    </row>
    <row r="44" spans="2:13" x14ac:dyDescent="0.3">
      <c r="B44" s="27"/>
      <c r="C44" s="1"/>
      <c r="D44" s="19">
        <v>7432</v>
      </c>
      <c r="E44" s="3" t="s">
        <v>46</v>
      </c>
      <c r="F44" s="34"/>
      <c r="G44" s="34"/>
      <c r="H44" s="34"/>
      <c r="I44" s="34"/>
      <c r="J44" s="34"/>
      <c r="K44" s="34"/>
      <c r="L44" s="36">
        <f t="shared" si="8"/>
        <v>0</v>
      </c>
      <c r="M44" s="24" t="e">
        <f t="shared" si="20"/>
        <v>#DIV/0!</v>
      </c>
    </row>
    <row r="45" spans="2:13" x14ac:dyDescent="0.3">
      <c r="B45" s="27"/>
      <c r="C45" s="1"/>
      <c r="D45" s="19">
        <v>7433</v>
      </c>
      <c r="E45" s="3" t="s">
        <v>47</v>
      </c>
      <c r="F45" s="34"/>
      <c r="G45" s="34"/>
      <c r="H45" s="34"/>
      <c r="I45" s="34"/>
      <c r="J45" s="34"/>
      <c r="K45" s="34"/>
      <c r="L45" s="36">
        <f t="shared" si="8"/>
        <v>0</v>
      </c>
      <c r="M45" s="24" t="e">
        <f t="shared" si="20"/>
        <v>#DIV/0!</v>
      </c>
    </row>
    <row r="46" spans="2:13" x14ac:dyDescent="0.3">
      <c r="B46" s="27"/>
      <c r="C46" s="1">
        <v>748</v>
      </c>
      <c r="D46" s="1"/>
      <c r="E46" s="17" t="s">
        <v>48</v>
      </c>
      <c r="F46" s="34">
        <f>SUM(F47)</f>
        <v>0</v>
      </c>
      <c r="G46" s="34">
        <f t="shared" ref="G46:K46" si="21">SUM(G47)</f>
        <v>0</v>
      </c>
      <c r="H46" s="34">
        <f t="shared" si="21"/>
        <v>0</v>
      </c>
      <c r="I46" s="34">
        <f t="shared" si="21"/>
        <v>0</v>
      </c>
      <c r="J46" s="34">
        <f t="shared" si="21"/>
        <v>0</v>
      </c>
      <c r="K46" s="34">
        <f t="shared" si="21"/>
        <v>0</v>
      </c>
      <c r="L46" s="34">
        <f t="shared" si="8"/>
        <v>0</v>
      </c>
      <c r="M46" s="16"/>
    </row>
    <row r="47" spans="2:13" x14ac:dyDescent="0.3">
      <c r="B47" s="27"/>
      <c r="C47" s="1"/>
      <c r="D47" s="19">
        <v>7482</v>
      </c>
      <c r="E47" s="3" t="s">
        <v>49</v>
      </c>
      <c r="F47" s="34"/>
      <c r="G47" s="34"/>
      <c r="H47" s="34"/>
      <c r="I47" s="34"/>
      <c r="J47" s="34"/>
      <c r="K47" s="34"/>
      <c r="L47" s="36">
        <f t="shared" si="8"/>
        <v>0</v>
      </c>
      <c r="M47" s="24" t="e">
        <f>J47/I47</f>
        <v>#DIV/0!</v>
      </c>
    </row>
    <row r="48" spans="2:13" ht="28.2" customHeight="1" x14ac:dyDescent="0.3">
      <c r="B48" s="27">
        <v>75</v>
      </c>
      <c r="C48" s="1"/>
      <c r="D48" s="1"/>
      <c r="E48" s="1" t="s">
        <v>50</v>
      </c>
      <c r="F48" s="34">
        <f>SUM(F49,F54,F59)</f>
        <v>0</v>
      </c>
      <c r="G48" s="34">
        <f t="shared" ref="G48:L48" si="22">SUM(G49,G54,G59)</f>
        <v>0</v>
      </c>
      <c r="H48" s="34">
        <f t="shared" si="22"/>
        <v>0</v>
      </c>
      <c r="I48" s="34">
        <f t="shared" si="22"/>
        <v>0</v>
      </c>
      <c r="J48" s="34">
        <f t="shared" si="22"/>
        <v>0</v>
      </c>
      <c r="K48" s="34">
        <f t="shared" si="22"/>
        <v>0</v>
      </c>
      <c r="L48" s="34">
        <f t="shared" si="22"/>
        <v>0</v>
      </c>
      <c r="M48" s="25" t="e">
        <f>J48/I48</f>
        <v>#DIV/0!</v>
      </c>
    </row>
    <row r="49" spans="2:13" x14ac:dyDescent="0.3">
      <c r="B49" s="28"/>
      <c r="C49" s="1">
        <v>751</v>
      </c>
      <c r="D49" s="1"/>
      <c r="E49" s="1" t="s">
        <v>51</v>
      </c>
      <c r="F49" s="34">
        <f>SUM(F50:F53)</f>
        <v>0</v>
      </c>
      <c r="G49" s="34">
        <f t="shared" ref="G49:K49" si="23">SUM(G50:G53)</f>
        <v>0</v>
      </c>
      <c r="H49" s="34">
        <f t="shared" si="23"/>
        <v>0</v>
      </c>
      <c r="I49" s="34">
        <f t="shared" si="23"/>
        <v>0</v>
      </c>
      <c r="J49" s="34">
        <f t="shared" si="23"/>
        <v>0</v>
      </c>
      <c r="K49" s="34">
        <f t="shared" si="23"/>
        <v>0</v>
      </c>
      <c r="L49" s="34">
        <f t="shared" si="8"/>
        <v>0</v>
      </c>
      <c r="M49" s="15"/>
    </row>
    <row r="50" spans="2:13" x14ac:dyDescent="0.3">
      <c r="B50" s="28"/>
      <c r="C50" s="20"/>
      <c r="D50" s="20">
        <v>7511</v>
      </c>
      <c r="E50" s="19" t="s">
        <v>9</v>
      </c>
      <c r="F50" s="37"/>
      <c r="G50" s="37"/>
      <c r="H50" s="42"/>
      <c r="I50" s="37"/>
      <c r="J50" s="37"/>
      <c r="K50" s="37"/>
      <c r="L50" s="36">
        <f>J50-K50</f>
        <v>0</v>
      </c>
      <c r="M50" s="24" t="e">
        <f t="shared" ref="M50:M53" si="24">J50/I50</f>
        <v>#DIV/0!</v>
      </c>
    </row>
    <row r="51" spans="2:13" x14ac:dyDescent="0.3">
      <c r="B51" s="28"/>
      <c r="C51" s="20"/>
      <c r="D51" s="20">
        <v>7512</v>
      </c>
      <c r="E51" s="19" t="s">
        <v>10</v>
      </c>
      <c r="F51" s="37"/>
      <c r="G51" s="37"/>
      <c r="H51" s="42"/>
      <c r="I51" s="37"/>
      <c r="J51" s="37"/>
      <c r="K51" s="37"/>
      <c r="L51" s="36">
        <f t="shared" si="8"/>
        <v>0</v>
      </c>
      <c r="M51" s="24" t="e">
        <f t="shared" si="24"/>
        <v>#DIV/0!</v>
      </c>
    </row>
    <row r="52" spans="2:13" x14ac:dyDescent="0.3">
      <c r="B52" s="28"/>
      <c r="C52" s="20"/>
      <c r="D52" s="20">
        <v>7513</v>
      </c>
      <c r="E52" s="19" t="s">
        <v>11</v>
      </c>
      <c r="F52" s="37"/>
      <c r="G52" s="37"/>
      <c r="H52" s="42"/>
      <c r="I52" s="37"/>
      <c r="J52" s="37"/>
      <c r="K52" s="37"/>
      <c r="L52" s="36">
        <f t="shared" si="8"/>
        <v>0</v>
      </c>
      <c r="M52" s="24" t="e">
        <f t="shared" si="24"/>
        <v>#DIV/0!</v>
      </c>
    </row>
    <row r="53" spans="2:13" x14ac:dyDescent="0.3">
      <c r="B53" s="28"/>
      <c r="C53" s="20"/>
      <c r="D53" s="20">
        <v>7518</v>
      </c>
      <c r="E53" s="19" t="s">
        <v>12</v>
      </c>
      <c r="F53" s="37"/>
      <c r="G53" s="37"/>
      <c r="H53" s="42"/>
      <c r="I53" s="37"/>
      <c r="J53" s="37"/>
      <c r="K53" s="37"/>
      <c r="L53" s="36">
        <f t="shared" si="8"/>
        <v>0</v>
      </c>
      <c r="M53" s="24" t="e">
        <f t="shared" si="24"/>
        <v>#DIV/0!</v>
      </c>
    </row>
    <row r="54" spans="2:13" x14ac:dyDescent="0.3">
      <c r="B54" s="28"/>
      <c r="C54" s="21">
        <v>752</v>
      </c>
      <c r="D54" s="21"/>
      <c r="E54" s="1" t="s">
        <v>52</v>
      </c>
      <c r="F54" s="37">
        <f>SUM(F55:F58)</f>
        <v>0</v>
      </c>
      <c r="G54" s="37">
        <f t="shared" ref="G54:K54" si="25">SUM(G55:G58)</f>
        <v>0</v>
      </c>
      <c r="H54" s="37">
        <f t="shared" si="25"/>
        <v>0</v>
      </c>
      <c r="I54" s="37">
        <f t="shared" si="25"/>
        <v>0</v>
      </c>
      <c r="J54" s="37">
        <f t="shared" si="25"/>
        <v>0</v>
      </c>
      <c r="K54" s="37">
        <f t="shared" si="25"/>
        <v>0</v>
      </c>
      <c r="L54" s="34">
        <f t="shared" si="8"/>
        <v>0</v>
      </c>
      <c r="M54" s="16"/>
    </row>
    <row r="55" spans="2:13" x14ac:dyDescent="0.3">
      <c r="B55" s="28"/>
      <c r="C55" s="20"/>
      <c r="D55" s="20">
        <v>7522</v>
      </c>
      <c r="E55" s="19" t="s">
        <v>53</v>
      </c>
      <c r="F55" s="37"/>
      <c r="G55" s="37"/>
      <c r="H55" s="42"/>
      <c r="I55" s="37"/>
      <c r="J55" s="37"/>
      <c r="K55" s="37"/>
      <c r="L55" s="36">
        <f t="shared" si="8"/>
        <v>0</v>
      </c>
      <c r="M55" s="24" t="e">
        <f t="shared" ref="M55:M58" si="26">J55/I55</f>
        <v>#DIV/0!</v>
      </c>
    </row>
    <row r="56" spans="2:13" x14ac:dyDescent="0.3">
      <c r="B56" s="28"/>
      <c r="C56" s="20"/>
      <c r="D56" s="20">
        <v>7523</v>
      </c>
      <c r="E56" s="19" t="s">
        <v>56</v>
      </c>
      <c r="F56" s="37"/>
      <c r="G56" s="37"/>
      <c r="H56" s="42"/>
      <c r="I56" s="37"/>
      <c r="J56" s="37"/>
      <c r="K56" s="37"/>
      <c r="L56" s="36">
        <f t="shared" si="8"/>
        <v>0</v>
      </c>
      <c r="M56" s="24" t="e">
        <f t="shared" si="26"/>
        <v>#DIV/0!</v>
      </c>
    </row>
    <row r="57" spans="2:13" x14ac:dyDescent="0.3">
      <c r="B57" s="28"/>
      <c r="C57" s="20"/>
      <c r="D57" s="20">
        <v>7524</v>
      </c>
      <c r="E57" s="19" t="s">
        <v>55</v>
      </c>
      <c r="F57" s="37"/>
      <c r="G57" s="37"/>
      <c r="H57" s="42"/>
      <c r="I57" s="37"/>
      <c r="J57" s="37"/>
      <c r="K57" s="37"/>
      <c r="L57" s="36">
        <f t="shared" si="8"/>
        <v>0</v>
      </c>
      <c r="M57" s="24" t="e">
        <f t="shared" si="26"/>
        <v>#DIV/0!</v>
      </c>
    </row>
    <row r="58" spans="2:13" x14ac:dyDescent="0.3">
      <c r="B58" s="28"/>
      <c r="C58" s="20"/>
      <c r="D58" s="20">
        <v>7528</v>
      </c>
      <c r="E58" s="19" t="s">
        <v>54</v>
      </c>
      <c r="F58" s="37"/>
      <c r="G58" s="37"/>
      <c r="H58" s="42"/>
      <c r="I58" s="37"/>
      <c r="J58" s="37"/>
      <c r="K58" s="37"/>
      <c r="L58" s="36">
        <f t="shared" si="8"/>
        <v>0</v>
      </c>
      <c r="M58" s="24" t="e">
        <f t="shared" si="26"/>
        <v>#DIV/0!</v>
      </c>
    </row>
    <row r="59" spans="2:13" x14ac:dyDescent="0.3">
      <c r="B59" s="28"/>
      <c r="C59" s="21">
        <v>755</v>
      </c>
      <c r="D59" s="21"/>
      <c r="E59" s="1" t="s">
        <v>57</v>
      </c>
      <c r="F59" s="37">
        <f>SUM(F60)</f>
        <v>0</v>
      </c>
      <c r="G59" s="37">
        <f t="shared" ref="G59:K59" si="27">SUM(G60)</f>
        <v>0</v>
      </c>
      <c r="H59" s="37">
        <f t="shared" si="27"/>
        <v>0</v>
      </c>
      <c r="I59" s="37">
        <f t="shared" si="27"/>
        <v>0</v>
      </c>
      <c r="J59" s="37">
        <f t="shared" si="27"/>
        <v>0</v>
      </c>
      <c r="K59" s="37">
        <f t="shared" si="27"/>
        <v>0</v>
      </c>
      <c r="L59" s="34">
        <f t="shared" si="8"/>
        <v>0</v>
      </c>
      <c r="M59" s="16"/>
    </row>
    <row r="60" spans="2:13" x14ac:dyDescent="0.3">
      <c r="B60" s="28"/>
      <c r="C60" s="20"/>
      <c r="D60" s="20">
        <v>7550</v>
      </c>
      <c r="E60" s="19" t="s">
        <v>13</v>
      </c>
      <c r="F60" s="37"/>
      <c r="G60" s="37"/>
      <c r="H60" s="42"/>
      <c r="I60" s="37"/>
      <c r="J60" s="37"/>
      <c r="K60" s="37"/>
      <c r="L60" s="36">
        <f t="shared" si="8"/>
        <v>0</v>
      </c>
      <c r="M60" s="24" t="e">
        <f>J60/I60</f>
        <v>#DIV/0!</v>
      </c>
    </row>
    <row r="61" spans="2:13" ht="29.4" customHeight="1" x14ac:dyDescent="0.3">
      <c r="B61" s="27">
        <v>76</v>
      </c>
      <c r="C61" s="21"/>
      <c r="D61" s="21"/>
      <c r="E61" s="1" t="s">
        <v>58</v>
      </c>
      <c r="F61" s="34">
        <f>SUM(F62,F64,F67,F69,F72)</f>
        <v>0</v>
      </c>
      <c r="G61" s="34">
        <f t="shared" ref="G61:L61" si="28">SUM(G62,G64,G67,G69,G72)</f>
        <v>0</v>
      </c>
      <c r="H61" s="34">
        <f t="shared" si="28"/>
        <v>0</v>
      </c>
      <c r="I61" s="34">
        <f t="shared" si="28"/>
        <v>0</v>
      </c>
      <c r="J61" s="34">
        <f t="shared" si="28"/>
        <v>0</v>
      </c>
      <c r="K61" s="34">
        <f t="shared" si="28"/>
        <v>0</v>
      </c>
      <c r="L61" s="34">
        <f t="shared" si="28"/>
        <v>0</v>
      </c>
      <c r="M61" s="25" t="e">
        <f>J61/I61</f>
        <v>#DIV/0!</v>
      </c>
    </row>
    <row r="62" spans="2:13" x14ac:dyDescent="0.3">
      <c r="B62" s="28"/>
      <c r="C62" s="21">
        <v>761</v>
      </c>
      <c r="D62" s="21"/>
      <c r="E62" s="1" t="s">
        <v>61</v>
      </c>
      <c r="F62" s="37">
        <f>SUM(F63)</f>
        <v>0</v>
      </c>
      <c r="G62" s="37">
        <f t="shared" ref="G62:K62" si="29">SUM(G63)</f>
        <v>0</v>
      </c>
      <c r="H62" s="37">
        <f t="shared" si="29"/>
        <v>0</v>
      </c>
      <c r="I62" s="37">
        <f t="shared" si="29"/>
        <v>0</v>
      </c>
      <c r="J62" s="37">
        <f t="shared" si="29"/>
        <v>0</v>
      </c>
      <c r="K62" s="37">
        <f t="shared" si="29"/>
        <v>0</v>
      </c>
      <c r="L62" s="34">
        <f t="shared" si="8"/>
        <v>0</v>
      </c>
      <c r="M62" s="16"/>
    </row>
    <row r="63" spans="2:13" x14ac:dyDescent="0.3">
      <c r="B63" s="28"/>
      <c r="C63" s="20"/>
      <c r="D63" s="20">
        <v>7610</v>
      </c>
      <c r="E63" s="19" t="s">
        <v>61</v>
      </c>
      <c r="F63" s="37"/>
      <c r="G63" s="37"/>
      <c r="H63" s="42"/>
      <c r="I63" s="37"/>
      <c r="J63" s="37"/>
      <c r="K63" s="37"/>
      <c r="L63" s="36">
        <f t="shared" si="8"/>
        <v>0</v>
      </c>
      <c r="M63" s="24" t="e">
        <f>J63/I63</f>
        <v>#DIV/0!</v>
      </c>
    </row>
    <row r="64" spans="2:13" x14ac:dyDescent="0.3">
      <c r="B64" s="28"/>
      <c r="C64" s="21">
        <v>762</v>
      </c>
      <c r="D64" s="21"/>
      <c r="E64" s="1" t="s">
        <v>62</v>
      </c>
      <c r="F64" s="37">
        <f>SUM(F65:F66)</f>
        <v>0</v>
      </c>
      <c r="G64" s="37">
        <f t="shared" ref="G64:K64" si="30">SUM(G65:G66)</f>
        <v>0</v>
      </c>
      <c r="H64" s="37">
        <f t="shared" si="30"/>
        <v>0</v>
      </c>
      <c r="I64" s="37">
        <f t="shared" si="30"/>
        <v>0</v>
      </c>
      <c r="J64" s="37">
        <f t="shared" si="30"/>
        <v>0</v>
      </c>
      <c r="K64" s="37">
        <f t="shared" si="30"/>
        <v>0</v>
      </c>
      <c r="L64" s="34">
        <f t="shared" si="8"/>
        <v>0</v>
      </c>
      <c r="M64" s="16"/>
    </row>
    <row r="65" spans="2:13" x14ac:dyDescent="0.3">
      <c r="B65" s="28"/>
      <c r="C65" s="20"/>
      <c r="D65" s="20">
        <v>7621</v>
      </c>
      <c r="E65" s="19" t="s">
        <v>63</v>
      </c>
      <c r="F65" s="37"/>
      <c r="G65" s="37"/>
      <c r="H65" s="42"/>
      <c r="I65" s="37"/>
      <c r="J65" s="37"/>
      <c r="K65" s="37"/>
      <c r="L65" s="36">
        <f t="shared" si="8"/>
        <v>0</v>
      </c>
      <c r="M65" s="24" t="e">
        <f t="shared" ref="M65:M66" si="31">J65/I65</f>
        <v>#DIV/0!</v>
      </c>
    </row>
    <row r="66" spans="2:13" x14ac:dyDescent="0.3">
      <c r="B66" s="28"/>
      <c r="C66" s="20"/>
      <c r="D66" s="20">
        <v>7622</v>
      </c>
      <c r="E66" s="19" t="s">
        <v>64</v>
      </c>
      <c r="F66" s="37"/>
      <c r="G66" s="37"/>
      <c r="H66" s="42"/>
      <c r="I66" s="37"/>
      <c r="J66" s="37"/>
      <c r="K66" s="37"/>
      <c r="L66" s="36">
        <f t="shared" si="8"/>
        <v>0</v>
      </c>
      <c r="M66" s="24" t="e">
        <f t="shared" si="31"/>
        <v>#DIV/0!</v>
      </c>
    </row>
    <row r="67" spans="2:13" x14ac:dyDescent="0.3">
      <c r="B67" s="28"/>
      <c r="C67" s="21">
        <v>763</v>
      </c>
      <c r="D67" s="21"/>
      <c r="E67" s="1" t="s">
        <v>65</v>
      </c>
      <c r="F67" s="37">
        <f>SUM(F68)</f>
        <v>0</v>
      </c>
      <c r="G67" s="37">
        <f t="shared" ref="G67:K67" si="32">SUM(G68)</f>
        <v>0</v>
      </c>
      <c r="H67" s="37">
        <f t="shared" si="32"/>
        <v>0</v>
      </c>
      <c r="I67" s="37">
        <f t="shared" si="32"/>
        <v>0</v>
      </c>
      <c r="J67" s="37">
        <f t="shared" si="32"/>
        <v>0</v>
      </c>
      <c r="K67" s="37">
        <f t="shared" si="32"/>
        <v>0</v>
      </c>
      <c r="L67" s="34">
        <f t="shared" si="8"/>
        <v>0</v>
      </c>
      <c r="M67" s="16"/>
    </row>
    <row r="68" spans="2:13" x14ac:dyDescent="0.3">
      <c r="B68" s="28"/>
      <c r="C68" s="20"/>
      <c r="D68" s="20">
        <v>7630</v>
      </c>
      <c r="E68" s="19" t="s">
        <v>65</v>
      </c>
      <c r="F68" s="37"/>
      <c r="G68" s="37"/>
      <c r="H68" s="42"/>
      <c r="I68" s="37"/>
      <c r="J68" s="37"/>
      <c r="K68" s="37"/>
      <c r="L68" s="36">
        <f t="shared" si="8"/>
        <v>0</v>
      </c>
      <c r="M68" s="24" t="e">
        <f>J68/I68</f>
        <v>#DIV/0!</v>
      </c>
    </row>
    <row r="69" spans="2:13" x14ac:dyDescent="0.3">
      <c r="B69" s="28"/>
      <c r="C69" s="21">
        <v>764</v>
      </c>
      <c r="D69" s="21"/>
      <c r="E69" s="1" t="s">
        <v>66</v>
      </c>
      <c r="F69" s="37">
        <f>SUM(F70:F71)</f>
        <v>0</v>
      </c>
      <c r="G69" s="37">
        <f t="shared" ref="G69:K69" si="33">SUM(G70:G71)</f>
        <v>0</v>
      </c>
      <c r="H69" s="37">
        <f t="shared" si="33"/>
        <v>0</v>
      </c>
      <c r="I69" s="37">
        <f t="shared" si="33"/>
        <v>0</v>
      </c>
      <c r="J69" s="37">
        <f t="shared" si="33"/>
        <v>0</v>
      </c>
      <c r="K69" s="37">
        <f t="shared" si="33"/>
        <v>0</v>
      </c>
      <c r="L69" s="34">
        <f t="shared" si="8"/>
        <v>0</v>
      </c>
      <c r="M69" s="16"/>
    </row>
    <row r="70" spans="2:13" x14ac:dyDescent="0.3">
      <c r="B70" s="28"/>
      <c r="C70" s="20"/>
      <c r="D70" s="20">
        <v>7641</v>
      </c>
      <c r="E70" s="19" t="s">
        <v>67</v>
      </c>
      <c r="F70" s="37"/>
      <c r="G70" s="37"/>
      <c r="H70" s="42"/>
      <c r="I70" s="37"/>
      <c r="J70" s="37"/>
      <c r="K70" s="37"/>
      <c r="L70" s="36">
        <f t="shared" si="8"/>
        <v>0</v>
      </c>
      <c r="M70" s="24" t="e">
        <f>J70/I70</f>
        <v>#DIV/0!</v>
      </c>
    </row>
    <row r="71" spans="2:13" x14ac:dyDescent="0.3">
      <c r="B71" s="28"/>
      <c r="C71" s="20"/>
      <c r="D71" s="20">
        <v>7642</v>
      </c>
      <c r="E71" s="19" t="s">
        <v>68</v>
      </c>
      <c r="F71" s="37"/>
      <c r="G71" s="37"/>
      <c r="H71" s="42"/>
      <c r="I71" s="37"/>
      <c r="J71" s="37"/>
      <c r="K71" s="37"/>
      <c r="L71" s="36">
        <f t="shared" si="8"/>
        <v>0</v>
      </c>
      <c r="M71" s="24" t="e">
        <f>J71/I71</f>
        <v>#DIV/0!</v>
      </c>
    </row>
    <row r="72" spans="2:13" x14ac:dyDescent="0.3">
      <c r="B72" s="28"/>
      <c r="C72" s="21">
        <v>768</v>
      </c>
      <c r="D72" s="21"/>
      <c r="E72" s="1" t="s">
        <v>69</v>
      </c>
      <c r="F72" s="37">
        <f>SUM(F73)</f>
        <v>0</v>
      </c>
      <c r="G72" s="37">
        <f t="shared" ref="G72:K72" si="34">SUM(G73)</f>
        <v>0</v>
      </c>
      <c r="H72" s="37">
        <f t="shared" si="34"/>
        <v>0</v>
      </c>
      <c r="I72" s="37">
        <f t="shared" si="34"/>
        <v>0</v>
      </c>
      <c r="J72" s="37">
        <f t="shared" si="34"/>
        <v>0</v>
      </c>
      <c r="K72" s="37">
        <f t="shared" si="34"/>
        <v>0</v>
      </c>
      <c r="L72" s="34">
        <f t="shared" si="8"/>
        <v>0</v>
      </c>
      <c r="M72" s="16"/>
    </row>
    <row r="73" spans="2:13" x14ac:dyDescent="0.3">
      <c r="B73" s="28"/>
      <c r="C73" s="20"/>
      <c r="D73" s="20">
        <v>7680</v>
      </c>
      <c r="E73" s="19" t="s">
        <v>69</v>
      </c>
      <c r="F73" s="37"/>
      <c r="G73" s="37"/>
      <c r="H73" s="42"/>
      <c r="I73" s="37"/>
      <c r="J73" s="37"/>
      <c r="K73" s="37"/>
      <c r="L73" s="36">
        <f t="shared" si="8"/>
        <v>0</v>
      </c>
      <c r="M73" s="24" t="e">
        <f>J73/I73</f>
        <v>#DIV/0!</v>
      </c>
    </row>
    <row r="74" spans="2:13" ht="28.95" customHeight="1" x14ac:dyDescent="0.3">
      <c r="B74" s="27">
        <v>77</v>
      </c>
      <c r="C74" s="1"/>
      <c r="D74" s="1"/>
      <c r="E74" s="1" t="s">
        <v>70</v>
      </c>
      <c r="F74" s="34">
        <f>SUM(F75,F84,F93)</f>
        <v>0</v>
      </c>
      <c r="G74" s="34">
        <f t="shared" ref="G74:L74" si="35">SUM(G75,G84,G93)</f>
        <v>0</v>
      </c>
      <c r="H74" s="34">
        <f t="shared" si="35"/>
        <v>0</v>
      </c>
      <c r="I74" s="34">
        <f t="shared" si="35"/>
        <v>0</v>
      </c>
      <c r="J74" s="34">
        <f t="shared" si="35"/>
        <v>0</v>
      </c>
      <c r="K74" s="34">
        <f t="shared" si="35"/>
        <v>0</v>
      </c>
      <c r="L74" s="34">
        <f t="shared" si="35"/>
        <v>0</v>
      </c>
      <c r="M74" s="25" t="e">
        <f>J74/I74</f>
        <v>#DIV/0!</v>
      </c>
    </row>
    <row r="75" spans="2:13" x14ac:dyDescent="0.3">
      <c r="B75" s="28"/>
      <c r="C75" s="1">
        <v>771</v>
      </c>
      <c r="D75" s="1"/>
      <c r="E75" s="1" t="s">
        <v>73</v>
      </c>
      <c r="F75" s="34">
        <f>SUM(F76:F83)</f>
        <v>0</v>
      </c>
      <c r="G75" s="34">
        <f t="shared" ref="G75:K75" si="36">SUM(G76:G83)</f>
        <v>0</v>
      </c>
      <c r="H75" s="34">
        <f t="shared" si="36"/>
        <v>0</v>
      </c>
      <c r="I75" s="34">
        <f t="shared" si="36"/>
        <v>0</v>
      </c>
      <c r="J75" s="34">
        <f t="shared" si="36"/>
        <v>0</v>
      </c>
      <c r="K75" s="34">
        <f t="shared" si="36"/>
        <v>0</v>
      </c>
      <c r="L75" s="34">
        <f t="shared" si="8"/>
        <v>0</v>
      </c>
      <c r="M75" s="15"/>
    </row>
    <row r="76" spans="2:13" x14ac:dyDescent="0.3">
      <c r="B76" s="28"/>
      <c r="C76" s="19"/>
      <c r="D76" s="19">
        <v>7711</v>
      </c>
      <c r="E76" s="19" t="s">
        <v>79</v>
      </c>
      <c r="F76" s="34"/>
      <c r="G76" s="34"/>
      <c r="H76" s="34"/>
      <c r="I76" s="34"/>
      <c r="J76" s="34"/>
      <c r="K76" s="34"/>
      <c r="L76" s="36">
        <f t="shared" si="8"/>
        <v>0</v>
      </c>
      <c r="M76" s="24" t="e">
        <f t="shared" ref="M76:M83" si="37">J76/I76</f>
        <v>#DIV/0!</v>
      </c>
    </row>
    <row r="77" spans="2:13" x14ac:dyDescent="0.3">
      <c r="B77" s="28"/>
      <c r="C77" s="19"/>
      <c r="D77" s="19">
        <v>7712</v>
      </c>
      <c r="E77" s="19" t="s">
        <v>80</v>
      </c>
      <c r="F77" s="34"/>
      <c r="G77" s="34"/>
      <c r="H77" s="34"/>
      <c r="I77" s="34"/>
      <c r="J77" s="34"/>
      <c r="K77" s="34"/>
      <c r="L77" s="36">
        <f t="shared" si="8"/>
        <v>0</v>
      </c>
      <c r="M77" s="24" t="e">
        <f t="shared" si="37"/>
        <v>#DIV/0!</v>
      </c>
    </row>
    <row r="78" spans="2:13" x14ac:dyDescent="0.3">
      <c r="B78" s="28"/>
      <c r="C78" s="19"/>
      <c r="D78" s="19">
        <v>7713</v>
      </c>
      <c r="E78" s="19" t="s">
        <v>81</v>
      </c>
      <c r="F78" s="34"/>
      <c r="G78" s="34"/>
      <c r="H78" s="34"/>
      <c r="I78" s="34"/>
      <c r="J78" s="34"/>
      <c r="K78" s="34"/>
      <c r="L78" s="36">
        <f t="shared" si="8"/>
        <v>0</v>
      </c>
      <c r="M78" s="24" t="e">
        <f t="shared" si="37"/>
        <v>#DIV/0!</v>
      </c>
    </row>
    <row r="79" spans="2:13" x14ac:dyDescent="0.3">
      <c r="B79" s="28"/>
      <c r="C79" s="20"/>
      <c r="D79" s="20">
        <v>7714</v>
      </c>
      <c r="E79" s="19" t="s">
        <v>82</v>
      </c>
      <c r="F79" s="37"/>
      <c r="G79" s="37"/>
      <c r="H79" s="37"/>
      <c r="I79" s="37"/>
      <c r="J79" s="37"/>
      <c r="K79" s="37"/>
      <c r="L79" s="36">
        <f t="shared" si="8"/>
        <v>0</v>
      </c>
      <c r="M79" s="24" t="e">
        <f t="shared" si="37"/>
        <v>#DIV/0!</v>
      </c>
    </row>
    <row r="80" spans="2:13" x14ac:dyDescent="0.3">
      <c r="B80" s="28"/>
      <c r="C80" s="20"/>
      <c r="D80" s="20">
        <v>7715</v>
      </c>
      <c r="E80" s="19" t="s">
        <v>83</v>
      </c>
      <c r="F80" s="37"/>
      <c r="G80" s="37"/>
      <c r="H80" s="37"/>
      <c r="I80" s="37"/>
      <c r="J80" s="37"/>
      <c r="K80" s="37"/>
      <c r="L80" s="36">
        <f t="shared" si="8"/>
        <v>0</v>
      </c>
      <c r="M80" s="24" t="e">
        <f t="shared" si="37"/>
        <v>#DIV/0!</v>
      </c>
    </row>
    <row r="81" spans="2:13" x14ac:dyDescent="0.3">
      <c r="B81" s="28"/>
      <c r="C81" s="20"/>
      <c r="D81" s="20">
        <v>7716</v>
      </c>
      <c r="E81" s="19" t="s">
        <v>84</v>
      </c>
      <c r="F81" s="37"/>
      <c r="G81" s="37"/>
      <c r="H81" s="37"/>
      <c r="I81" s="37"/>
      <c r="J81" s="37"/>
      <c r="K81" s="37"/>
      <c r="L81" s="36">
        <f t="shared" si="8"/>
        <v>0</v>
      </c>
      <c r="M81" s="24" t="e">
        <f t="shared" si="37"/>
        <v>#DIV/0!</v>
      </c>
    </row>
    <row r="82" spans="2:13" x14ac:dyDescent="0.3">
      <c r="B82" s="28"/>
      <c r="C82" s="3"/>
      <c r="D82" s="3">
        <v>7717</v>
      </c>
      <c r="E82" s="3" t="s">
        <v>14</v>
      </c>
      <c r="F82" s="35"/>
      <c r="G82" s="35"/>
      <c r="H82" s="42"/>
      <c r="I82" s="35"/>
      <c r="J82" s="35"/>
      <c r="K82" s="35"/>
      <c r="L82" s="36">
        <f t="shared" ref="L82:L99" si="38">J82-K82</f>
        <v>0</v>
      </c>
      <c r="M82" s="24" t="e">
        <f t="shared" si="37"/>
        <v>#DIV/0!</v>
      </c>
    </row>
    <row r="83" spans="2:13" x14ac:dyDescent="0.3">
      <c r="B83" s="28"/>
      <c r="C83" s="3"/>
      <c r="D83" s="3">
        <v>7718</v>
      </c>
      <c r="E83" s="3" t="s">
        <v>78</v>
      </c>
      <c r="F83" s="35"/>
      <c r="G83" s="35"/>
      <c r="H83" s="42"/>
      <c r="I83" s="35"/>
      <c r="J83" s="35"/>
      <c r="K83" s="35"/>
      <c r="L83" s="36">
        <f t="shared" si="38"/>
        <v>0</v>
      </c>
      <c r="M83" s="24" t="e">
        <f t="shared" si="37"/>
        <v>#DIV/0!</v>
      </c>
    </row>
    <row r="84" spans="2:13" x14ac:dyDescent="0.3">
      <c r="B84" s="28"/>
      <c r="C84" s="17">
        <v>772</v>
      </c>
      <c r="D84" s="17"/>
      <c r="E84" s="17" t="s">
        <v>74</v>
      </c>
      <c r="F84" s="34">
        <f>SUM(F85:F92)</f>
        <v>0</v>
      </c>
      <c r="G84" s="34">
        <f t="shared" ref="G84:K84" si="39">SUM(G85:G92)</f>
        <v>0</v>
      </c>
      <c r="H84" s="34">
        <f t="shared" si="39"/>
        <v>0</v>
      </c>
      <c r="I84" s="34">
        <f t="shared" si="39"/>
        <v>0</v>
      </c>
      <c r="J84" s="34">
        <f t="shared" si="39"/>
        <v>0</v>
      </c>
      <c r="K84" s="34">
        <f t="shared" si="39"/>
        <v>0</v>
      </c>
      <c r="L84" s="34">
        <f t="shared" si="38"/>
        <v>0</v>
      </c>
      <c r="M84" s="16"/>
    </row>
    <row r="85" spans="2:13" x14ac:dyDescent="0.3">
      <c r="B85" s="28"/>
      <c r="C85" s="3"/>
      <c r="D85" s="3">
        <v>7721</v>
      </c>
      <c r="E85" s="3" t="s">
        <v>15</v>
      </c>
      <c r="F85" s="35"/>
      <c r="G85" s="35"/>
      <c r="H85" s="42"/>
      <c r="I85" s="35"/>
      <c r="J85" s="35"/>
      <c r="K85" s="35"/>
      <c r="L85" s="36">
        <f t="shared" si="38"/>
        <v>0</v>
      </c>
      <c r="M85" s="24" t="e">
        <f t="shared" ref="M85:M92" si="40">J85/I85</f>
        <v>#DIV/0!</v>
      </c>
    </row>
    <row r="86" spans="2:13" x14ac:dyDescent="0.3">
      <c r="B86" s="28"/>
      <c r="C86" s="3"/>
      <c r="D86" s="3">
        <v>7722</v>
      </c>
      <c r="E86" s="3" t="s">
        <v>85</v>
      </c>
      <c r="F86" s="35"/>
      <c r="G86" s="35"/>
      <c r="H86" s="42"/>
      <c r="I86" s="35"/>
      <c r="J86" s="35"/>
      <c r="K86" s="35"/>
      <c r="L86" s="36">
        <f t="shared" si="38"/>
        <v>0</v>
      </c>
      <c r="M86" s="24" t="e">
        <f t="shared" si="40"/>
        <v>#DIV/0!</v>
      </c>
    </row>
    <row r="87" spans="2:13" x14ac:dyDescent="0.3">
      <c r="B87" s="28"/>
      <c r="C87" s="3"/>
      <c r="D87" s="3">
        <v>7723</v>
      </c>
      <c r="E87" s="3" t="s">
        <v>86</v>
      </c>
      <c r="F87" s="35"/>
      <c r="G87" s="35"/>
      <c r="H87" s="42"/>
      <c r="I87" s="35"/>
      <c r="J87" s="35"/>
      <c r="K87" s="35"/>
      <c r="L87" s="36">
        <f t="shared" si="38"/>
        <v>0</v>
      </c>
      <c r="M87" s="24" t="e">
        <f t="shared" si="40"/>
        <v>#DIV/0!</v>
      </c>
    </row>
    <row r="88" spans="2:13" x14ac:dyDescent="0.3">
      <c r="B88" s="28"/>
      <c r="C88" s="3"/>
      <c r="D88" s="3">
        <v>7724</v>
      </c>
      <c r="E88" s="3" t="s">
        <v>87</v>
      </c>
      <c r="F88" s="35"/>
      <c r="G88" s="35"/>
      <c r="H88" s="42"/>
      <c r="I88" s="35"/>
      <c r="J88" s="35"/>
      <c r="K88" s="35"/>
      <c r="L88" s="36">
        <f t="shared" si="38"/>
        <v>0</v>
      </c>
      <c r="M88" s="24" t="e">
        <f t="shared" si="40"/>
        <v>#DIV/0!</v>
      </c>
    </row>
    <row r="89" spans="2:13" x14ac:dyDescent="0.3">
      <c r="B89" s="28"/>
      <c r="C89" s="3"/>
      <c r="D89" s="3">
        <v>7725</v>
      </c>
      <c r="E89" s="3" t="s">
        <v>88</v>
      </c>
      <c r="F89" s="35"/>
      <c r="G89" s="35"/>
      <c r="H89" s="42"/>
      <c r="I89" s="35"/>
      <c r="J89" s="35"/>
      <c r="K89" s="35"/>
      <c r="L89" s="36">
        <f t="shared" si="38"/>
        <v>0</v>
      </c>
      <c r="M89" s="24" t="e">
        <f t="shared" si="40"/>
        <v>#DIV/0!</v>
      </c>
    </row>
    <row r="90" spans="2:13" x14ac:dyDescent="0.3">
      <c r="B90" s="28"/>
      <c r="C90" s="3"/>
      <c r="D90" s="3">
        <v>7726</v>
      </c>
      <c r="E90" s="3" t="s">
        <v>89</v>
      </c>
      <c r="F90" s="35"/>
      <c r="G90" s="35"/>
      <c r="H90" s="42"/>
      <c r="I90" s="35"/>
      <c r="J90" s="35"/>
      <c r="K90" s="35"/>
      <c r="L90" s="36">
        <f t="shared" si="38"/>
        <v>0</v>
      </c>
      <c r="M90" s="24" t="e">
        <f t="shared" si="40"/>
        <v>#DIV/0!</v>
      </c>
    </row>
    <row r="91" spans="2:13" x14ac:dyDescent="0.3">
      <c r="B91" s="28"/>
      <c r="C91" s="3"/>
      <c r="D91" s="3">
        <v>7727</v>
      </c>
      <c r="E91" s="3" t="s">
        <v>16</v>
      </c>
      <c r="F91" s="35"/>
      <c r="G91" s="35"/>
      <c r="H91" s="42"/>
      <c r="I91" s="35"/>
      <c r="J91" s="35"/>
      <c r="K91" s="35"/>
      <c r="L91" s="36">
        <f t="shared" si="38"/>
        <v>0</v>
      </c>
      <c r="M91" s="24" t="e">
        <f t="shared" si="40"/>
        <v>#DIV/0!</v>
      </c>
    </row>
    <row r="92" spans="2:13" x14ac:dyDescent="0.3">
      <c r="B92" s="28"/>
      <c r="C92" s="3"/>
      <c r="D92" s="3">
        <v>7728</v>
      </c>
      <c r="E92" s="3" t="s">
        <v>90</v>
      </c>
      <c r="F92" s="35"/>
      <c r="G92" s="35"/>
      <c r="H92" s="42"/>
      <c r="I92" s="35"/>
      <c r="J92" s="35"/>
      <c r="K92" s="35"/>
      <c r="L92" s="36">
        <f t="shared" si="38"/>
        <v>0</v>
      </c>
      <c r="M92" s="24" t="e">
        <f t="shared" si="40"/>
        <v>#DIV/0!</v>
      </c>
    </row>
    <row r="93" spans="2:13" x14ac:dyDescent="0.3">
      <c r="B93" s="28"/>
      <c r="C93" s="17">
        <v>773</v>
      </c>
      <c r="D93" s="17"/>
      <c r="E93" s="17" t="s">
        <v>75</v>
      </c>
      <c r="F93" s="34">
        <f>SUM(F94:F99)</f>
        <v>0</v>
      </c>
      <c r="G93" s="34">
        <f t="shared" ref="G93:K93" si="41">SUM(G94:G99)</f>
        <v>0</v>
      </c>
      <c r="H93" s="34">
        <f t="shared" si="41"/>
        <v>0</v>
      </c>
      <c r="I93" s="34">
        <f t="shared" si="41"/>
        <v>0</v>
      </c>
      <c r="J93" s="34">
        <f t="shared" si="41"/>
        <v>0</v>
      </c>
      <c r="K93" s="34">
        <f t="shared" si="41"/>
        <v>0</v>
      </c>
      <c r="L93" s="34">
        <f t="shared" si="38"/>
        <v>0</v>
      </c>
      <c r="M93" s="16"/>
    </row>
    <row r="94" spans="2:13" x14ac:dyDescent="0.3">
      <c r="B94" s="28"/>
      <c r="C94" s="17"/>
      <c r="D94" s="3">
        <v>7731</v>
      </c>
      <c r="E94" s="3" t="s">
        <v>91</v>
      </c>
      <c r="F94" s="35"/>
      <c r="G94" s="35"/>
      <c r="H94" s="42"/>
      <c r="I94" s="35"/>
      <c r="J94" s="35"/>
      <c r="K94" s="35"/>
      <c r="L94" s="36">
        <f t="shared" si="38"/>
        <v>0</v>
      </c>
      <c r="M94" s="24" t="e">
        <f t="shared" ref="M94:M99" si="42">J94/I94</f>
        <v>#DIV/0!</v>
      </c>
    </row>
    <row r="95" spans="2:13" x14ac:dyDescent="0.3">
      <c r="B95" s="28"/>
      <c r="C95" s="17"/>
      <c r="D95" s="3">
        <v>7732</v>
      </c>
      <c r="E95" s="3" t="s">
        <v>17</v>
      </c>
      <c r="F95" s="35"/>
      <c r="G95" s="35"/>
      <c r="H95" s="42"/>
      <c r="I95" s="35"/>
      <c r="J95" s="35"/>
      <c r="K95" s="35"/>
      <c r="L95" s="36">
        <f t="shared" si="38"/>
        <v>0</v>
      </c>
      <c r="M95" s="24" t="e">
        <f t="shared" si="42"/>
        <v>#DIV/0!</v>
      </c>
    </row>
    <row r="96" spans="2:13" x14ac:dyDescent="0.3">
      <c r="B96" s="28"/>
      <c r="C96" s="17"/>
      <c r="D96" s="3">
        <v>7733</v>
      </c>
      <c r="E96" s="3" t="s">
        <v>92</v>
      </c>
      <c r="F96" s="35"/>
      <c r="G96" s="35"/>
      <c r="H96" s="42"/>
      <c r="I96" s="35"/>
      <c r="J96" s="35"/>
      <c r="K96" s="35"/>
      <c r="L96" s="36">
        <f t="shared" si="38"/>
        <v>0</v>
      </c>
      <c r="M96" s="24" t="e">
        <f t="shared" si="42"/>
        <v>#DIV/0!</v>
      </c>
    </row>
    <row r="97" spans="2:14" x14ac:dyDescent="0.3">
      <c r="B97" s="28"/>
      <c r="C97" s="17"/>
      <c r="D97" s="3">
        <v>7734</v>
      </c>
      <c r="E97" s="3" t="s">
        <v>93</v>
      </c>
      <c r="F97" s="35"/>
      <c r="G97" s="35"/>
      <c r="H97" s="42"/>
      <c r="I97" s="35"/>
      <c r="J97" s="35"/>
      <c r="K97" s="35"/>
      <c r="L97" s="36">
        <f t="shared" si="38"/>
        <v>0</v>
      </c>
      <c r="M97" s="24" t="e">
        <f t="shared" si="42"/>
        <v>#DIV/0!</v>
      </c>
    </row>
    <row r="98" spans="2:14" x14ac:dyDescent="0.3">
      <c r="B98" s="28"/>
      <c r="C98" s="17"/>
      <c r="D98" s="3">
        <v>7735</v>
      </c>
      <c r="E98" s="3" t="s">
        <v>94</v>
      </c>
      <c r="F98" s="35"/>
      <c r="G98" s="35"/>
      <c r="H98" s="42"/>
      <c r="I98" s="35"/>
      <c r="J98" s="35"/>
      <c r="K98" s="35"/>
      <c r="L98" s="36">
        <f t="shared" si="38"/>
        <v>0</v>
      </c>
      <c r="M98" s="24" t="e">
        <f t="shared" si="42"/>
        <v>#DIV/0!</v>
      </c>
    </row>
    <row r="99" spans="2:14" x14ac:dyDescent="0.3">
      <c r="B99" s="28"/>
      <c r="C99" s="17"/>
      <c r="D99" s="3">
        <v>7738</v>
      </c>
      <c r="E99" s="3" t="s">
        <v>95</v>
      </c>
      <c r="F99" s="35"/>
      <c r="G99" s="35"/>
      <c r="H99" s="42"/>
      <c r="I99" s="35"/>
      <c r="J99" s="35"/>
      <c r="K99" s="35"/>
      <c r="L99" s="36">
        <f t="shared" si="38"/>
        <v>0</v>
      </c>
      <c r="M99" s="24" t="e">
        <f t="shared" si="42"/>
        <v>#DIV/0!</v>
      </c>
    </row>
    <row r="100" spans="2:14" ht="29.4" customHeight="1" x14ac:dyDescent="0.3">
      <c r="B100" s="29"/>
      <c r="C100" s="2"/>
      <c r="D100" s="2"/>
      <c r="E100" s="2" t="s">
        <v>18</v>
      </c>
      <c r="F100" s="55">
        <f>F8+F11+F21+F41+F48+F61+F74</f>
        <v>0</v>
      </c>
      <c r="G100" s="55">
        <f t="shared" ref="G100:K100" si="43">G8+G11+G21+G41+G48+G61+G74</f>
        <v>0</v>
      </c>
      <c r="H100" s="55">
        <f t="shared" si="43"/>
        <v>0</v>
      </c>
      <c r="I100" s="55">
        <f t="shared" si="43"/>
        <v>0</v>
      </c>
      <c r="J100" s="55">
        <f t="shared" si="43"/>
        <v>0</v>
      </c>
      <c r="K100" s="55">
        <f t="shared" si="43"/>
        <v>0</v>
      </c>
      <c r="L100" s="55">
        <f>L8+L11+L21+L41+L48+L61+L74</f>
        <v>0</v>
      </c>
      <c r="M100" s="25" t="e">
        <f>J100/I100</f>
        <v>#DIV/0!</v>
      </c>
      <c r="N100" s="56"/>
    </row>
    <row r="101" spans="2:14" x14ac:dyDescent="0.3">
      <c r="B101" s="28"/>
      <c r="C101" s="17">
        <v>774</v>
      </c>
      <c r="D101" s="17"/>
      <c r="E101" s="17" t="s">
        <v>76</v>
      </c>
      <c r="F101" s="35">
        <f>SUM(F102:F103)</f>
        <v>0</v>
      </c>
      <c r="G101" s="35">
        <f t="shared" ref="G101:K101" si="44">SUM(G102:G103)</f>
        <v>0</v>
      </c>
      <c r="H101" s="35">
        <f t="shared" si="44"/>
        <v>0</v>
      </c>
      <c r="I101" s="35">
        <f t="shared" si="44"/>
        <v>0</v>
      </c>
      <c r="J101" s="35">
        <f t="shared" si="44"/>
        <v>0</v>
      </c>
      <c r="K101" s="35">
        <f t="shared" si="44"/>
        <v>0</v>
      </c>
      <c r="L101" s="34">
        <f>J101-K101</f>
        <v>0</v>
      </c>
      <c r="M101" s="22"/>
    </row>
    <row r="102" spans="2:14" x14ac:dyDescent="0.3">
      <c r="B102" s="28"/>
      <c r="C102" s="3"/>
      <c r="D102" s="3">
        <v>7741</v>
      </c>
      <c r="E102" s="3" t="s">
        <v>97</v>
      </c>
      <c r="F102" s="35"/>
      <c r="G102" s="35"/>
      <c r="H102" s="35"/>
      <c r="I102" s="35"/>
      <c r="J102" s="35"/>
      <c r="K102" s="35"/>
      <c r="L102" s="35">
        <f t="shared" ref="L102:L103" si="45">J102-K102</f>
        <v>0</v>
      </c>
      <c r="M102" s="24" t="e">
        <f>J102/I102</f>
        <v>#DIV/0!</v>
      </c>
    </row>
    <row r="103" spans="2:14" x14ac:dyDescent="0.3">
      <c r="B103" s="28"/>
      <c r="C103" s="3"/>
      <c r="D103" s="3">
        <v>7742</v>
      </c>
      <c r="E103" s="3" t="s">
        <v>96</v>
      </c>
      <c r="F103" s="35"/>
      <c r="G103" s="35"/>
      <c r="H103" s="35"/>
      <c r="I103" s="35"/>
      <c r="J103" s="35"/>
      <c r="K103" s="35"/>
      <c r="L103" s="35">
        <f t="shared" si="45"/>
        <v>0</v>
      </c>
      <c r="M103" s="24" t="e">
        <f>J103/I103</f>
        <v>#DIV/0!</v>
      </c>
    </row>
    <row r="104" spans="2:14" s="10" customFormat="1" ht="28.95" customHeight="1" x14ac:dyDescent="0.3">
      <c r="B104" s="29"/>
      <c r="C104" s="2"/>
      <c r="D104" s="2"/>
      <c r="E104" s="2" t="s">
        <v>77</v>
      </c>
      <c r="F104" s="55">
        <f>SUM(F101)</f>
        <v>0</v>
      </c>
      <c r="G104" s="55">
        <f t="shared" ref="G104:K104" si="46">SUM(G101)</f>
        <v>0</v>
      </c>
      <c r="H104" s="55">
        <f t="shared" si="46"/>
        <v>0</v>
      </c>
      <c r="I104" s="55">
        <f t="shared" si="46"/>
        <v>0</v>
      </c>
      <c r="J104" s="55">
        <f t="shared" si="46"/>
        <v>0</v>
      </c>
      <c r="K104" s="55">
        <f t="shared" si="46"/>
        <v>0</v>
      </c>
      <c r="L104" s="55">
        <f>SUM(L101)</f>
        <v>0</v>
      </c>
      <c r="M104" s="25" t="e">
        <f>J104/I104</f>
        <v>#DIV/0!</v>
      </c>
    </row>
    <row r="105" spans="2:14" ht="29.4" customHeight="1" x14ac:dyDescent="0.3">
      <c r="B105" s="29"/>
      <c r="C105" s="2"/>
      <c r="D105" s="2"/>
      <c r="E105" s="2" t="s">
        <v>98</v>
      </c>
      <c r="F105" s="55">
        <f>F100+F104</f>
        <v>0</v>
      </c>
      <c r="G105" s="55">
        <f t="shared" ref="G105:K105" si="47">G100+G104</f>
        <v>0</v>
      </c>
      <c r="H105" s="55">
        <f t="shared" si="47"/>
        <v>0</v>
      </c>
      <c r="I105" s="55">
        <f t="shared" si="47"/>
        <v>0</v>
      </c>
      <c r="J105" s="55">
        <f t="shared" si="47"/>
        <v>0</v>
      </c>
      <c r="K105" s="55">
        <f t="shared" si="47"/>
        <v>0</v>
      </c>
      <c r="L105" s="55">
        <f>L100+L104</f>
        <v>0</v>
      </c>
      <c r="M105" s="25" t="e">
        <f>J105/I105</f>
        <v>#DIV/0!</v>
      </c>
    </row>
    <row r="106" spans="2:14" x14ac:dyDescent="0.3">
      <c r="B106" s="9"/>
      <c r="C106" s="10"/>
      <c r="D106" s="10"/>
      <c r="E106" s="10"/>
      <c r="F106" s="32"/>
      <c r="G106" s="32"/>
      <c r="H106" s="39"/>
      <c r="I106" s="32"/>
      <c r="J106" s="32"/>
      <c r="K106" s="32"/>
      <c r="L106" s="32"/>
      <c r="M106" s="10"/>
    </row>
    <row r="107" spans="2:14" ht="25.95" customHeight="1" x14ac:dyDescent="0.3">
      <c r="B107" s="71" t="s">
        <v>149</v>
      </c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</row>
    <row r="108" spans="2:14" ht="44.4" customHeight="1" x14ac:dyDescent="0.3">
      <c r="B108" s="26" t="s">
        <v>138</v>
      </c>
      <c r="C108" s="5"/>
      <c r="D108" s="6"/>
      <c r="E108" s="23" t="s">
        <v>148</v>
      </c>
      <c r="F108" s="33" t="s">
        <v>139</v>
      </c>
      <c r="G108" s="33" t="s">
        <v>140</v>
      </c>
      <c r="H108" s="41" t="s">
        <v>141</v>
      </c>
      <c r="I108" s="33" t="s">
        <v>142</v>
      </c>
      <c r="J108" s="33" t="s">
        <v>143</v>
      </c>
      <c r="K108" s="33" t="s">
        <v>144</v>
      </c>
      <c r="L108" s="33" t="s">
        <v>145</v>
      </c>
      <c r="M108" s="14" t="s">
        <v>146</v>
      </c>
    </row>
    <row r="109" spans="2:14" ht="29.4" customHeight="1" x14ac:dyDescent="0.3">
      <c r="B109" s="27">
        <v>10</v>
      </c>
      <c r="C109" s="1"/>
      <c r="D109" s="1"/>
      <c r="E109" s="1" t="s">
        <v>106</v>
      </c>
      <c r="F109" s="34">
        <f>SUM(F110,F119)</f>
        <v>0</v>
      </c>
      <c r="G109" s="34">
        <f t="shared" ref="G109:K109" si="48">SUM(G110,G119)</f>
        <v>0</v>
      </c>
      <c r="H109" s="34">
        <f t="shared" si="48"/>
        <v>0</v>
      </c>
      <c r="I109" s="34">
        <f t="shared" si="48"/>
        <v>0</v>
      </c>
      <c r="J109" s="34">
        <f t="shared" si="48"/>
        <v>0</v>
      </c>
      <c r="K109" s="34">
        <f t="shared" si="48"/>
        <v>0</v>
      </c>
      <c r="L109" s="34">
        <f>SUM(L110,L119)</f>
        <v>0</v>
      </c>
      <c r="M109" s="25" t="e">
        <f>J109/I109</f>
        <v>#DIV/0!</v>
      </c>
    </row>
    <row r="110" spans="2:14" x14ac:dyDescent="0.3">
      <c r="B110" s="27"/>
      <c r="C110" s="1">
        <v>101</v>
      </c>
      <c r="D110" s="1"/>
      <c r="E110" s="1" t="s">
        <v>101</v>
      </c>
      <c r="F110" s="34">
        <f>SUM(F111:F118)</f>
        <v>0</v>
      </c>
      <c r="G110" s="34">
        <f t="shared" ref="G110:L110" si="49">SUM(G111:G118)</f>
        <v>0</v>
      </c>
      <c r="H110" s="34">
        <f t="shared" si="49"/>
        <v>0</v>
      </c>
      <c r="I110" s="34">
        <f t="shared" si="49"/>
        <v>0</v>
      </c>
      <c r="J110" s="34">
        <f t="shared" si="49"/>
        <v>0</v>
      </c>
      <c r="K110" s="34">
        <f t="shared" si="49"/>
        <v>0</v>
      </c>
      <c r="L110" s="34">
        <f t="shared" si="49"/>
        <v>0</v>
      </c>
      <c r="M110" s="15"/>
    </row>
    <row r="111" spans="2:14" x14ac:dyDescent="0.3">
      <c r="B111" s="28"/>
      <c r="C111" s="3"/>
      <c r="D111" s="3">
        <v>1011</v>
      </c>
      <c r="E111" s="3" t="s">
        <v>107</v>
      </c>
      <c r="F111" s="35"/>
      <c r="G111" s="35"/>
      <c r="H111" s="42"/>
      <c r="I111" s="35"/>
      <c r="J111" s="35"/>
      <c r="K111" s="35"/>
      <c r="L111" s="35">
        <f t="shared" ref="L111:L118" si="50">J111-K111</f>
        <v>0</v>
      </c>
      <c r="M111" s="24" t="e">
        <f>J111/I111</f>
        <v>#DIV/0!</v>
      </c>
    </row>
    <row r="112" spans="2:14" x14ac:dyDescent="0.3">
      <c r="B112" s="28"/>
      <c r="C112" s="3"/>
      <c r="D112" s="3">
        <v>1012</v>
      </c>
      <c r="E112" s="3" t="s">
        <v>22</v>
      </c>
      <c r="F112" s="35"/>
      <c r="G112" s="35"/>
      <c r="H112" s="42"/>
      <c r="I112" s="35"/>
      <c r="J112" s="35"/>
      <c r="K112" s="35"/>
      <c r="L112" s="35">
        <f t="shared" si="50"/>
        <v>0</v>
      </c>
      <c r="M112" s="24" t="e">
        <f t="shared" ref="M112:M118" si="51">J112/I112</f>
        <v>#DIV/0!</v>
      </c>
    </row>
    <row r="113" spans="2:13" x14ac:dyDescent="0.3">
      <c r="B113" s="28"/>
      <c r="C113" s="3"/>
      <c r="D113" s="3">
        <v>1013</v>
      </c>
      <c r="E113" s="3" t="s">
        <v>108</v>
      </c>
      <c r="F113" s="35"/>
      <c r="G113" s="35"/>
      <c r="H113" s="42"/>
      <c r="I113" s="35"/>
      <c r="J113" s="35"/>
      <c r="K113" s="35"/>
      <c r="L113" s="35">
        <f t="shared" si="50"/>
        <v>0</v>
      </c>
      <c r="M113" s="24" t="e">
        <f t="shared" si="51"/>
        <v>#DIV/0!</v>
      </c>
    </row>
    <row r="114" spans="2:13" x14ac:dyDescent="0.3">
      <c r="B114" s="28"/>
      <c r="C114" s="3"/>
      <c r="D114" s="3">
        <v>1014</v>
      </c>
      <c r="E114" s="3" t="s">
        <v>109</v>
      </c>
      <c r="F114" s="35"/>
      <c r="G114" s="35"/>
      <c r="H114" s="42"/>
      <c r="I114" s="35"/>
      <c r="J114" s="35"/>
      <c r="K114" s="35"/>
      <c r="L114" s="35">
        <f t="shared" si="50"/>
        <v>0</v>
      </c>
      <c r="M114" s="24" t="e">
        <f t="shared" si="51"/>
        <v>#DIV/0!</v>
      </c>
    </row>
    <row r="115" spans="2:13" x14ac:dyDescent="0.3">
      <c r="B115" s="28"/>
      <c r="C115" s="3"/>
      <c r="D115" s="3">
        <v>1015</v>
      </c>
      <c r="E115" s="3" t="s">
        <v>110</v>
      </c>
      <c r="F115" s="35"/>
      <c r="G115" s="35"/>
      <c r="H115" s="42"/>
      <c r="I115" s="35"/>
      <c r="J115" s="35"/>
      <c r="K115" s="35"/>
      <c r="L115" s="35">
        <f t="shared" si="50"/>
        <v>0</v>
      </c>
      <c r="M115" s="24" t="e">
        <f t="shared" si="51"/>
        <v>#DIV/0!</v>
      </c>
    </row>
    <row r="116" spans="2:13" x14ac:dyDescent="0.3">
      <c r="B116" s="28"/>
      <c r="C116" s="3"/>
      <c r="D116" s="3">
        <v>1016</v>
      </c>
      <c r="E116" s="3" t="s">
        <v>111</v>
      </c>
      <c r="F116" s="35"/>
      <c r="G116" s="35"/>
      <c r="H116" s="42"/>
      <c r="I116" s="35"/>
      <c r="J116" s="35"/>
      <c r="K116" s="35"/>
      <c r="L116" s="35">
        <f t="shared" si="50"/>
        <v>0</v>
      </c>
      <c r="M116" s="24" t="e">
        <f t="shared" si="51"/>
        <v>#DIV/0!</v>
      </c>
    </row>
    <row r="117" spans="2:13" x14ac:dyDescent="0.3">
      <c r="B117" s="28"/>
      <c r="C117" s="3"/>
      <c r="D117" s="3">
        <v>1017</v>
      </c>
      <c r="E117" s="3" t="s">
        <v>112</v>
      </c>
      <c r="F117" s="35"/>
      <c r="G117" s="35"/>
      <c r="H117" s="42"/>
      <c r="I117" s="35"/>
      <c r="J117" s="35"/>
      <c r="K117" s="35"/>
      <c r="L117" s="35">
        <f t="shared" si="50"/>
        <v>0</v>
      </c>
      <c r="M117" s="24" t="e">
        <f t="shared" si="51"/>
        <v>#DIV/0!</v>
      </c>
    </row>
    <row r="118" spans="2:13" x14ac:dyDescent="0.3">
      <c r="B118" s="28"/>
      <c r="C118" s="3"/>
      <c r="D118" s="3">
        <v>1018</v>
      </c>
      <c r="E118" s="3" t="s">
        <v>95</v>
      </c>
      <c r="F118" s="35"/>
      <c r="G118" s="35"/>
      <c r="H118" s="42"/>
      <c r="I118" s="35"/>
      <c r="J118" s="35"/>
      <c r="K118" s="35"/>
      <c r="L118" s="35">
        <f t="shared" si="50"/>
        <v>0</v>
      </c>
      <c r="M118" s="24" t="e">
        <f t="shared" si="51"/>
        <v>#DIV/0!</v>
      </c>
    </row>
    <row r="119" spans="2:13" x14ac:dyDescent="0.3">
      <c r="B119" s="28"/>
      <c r="C119" s="17">
        <v>106</v>
      </c>
      <c r="D119" s="17"/>
      <c r="E119" s="17" t="s">
        <v>102</v>
      </c>
      <c r="F119" s="35">
        <f>SUM(F120:F122)</f>
        <v>0</v>
      </c>
      <c r="G119" s="35">
        <f t="shared" ref="G119:L119" si="52">SUM(G120:G122)</f>
        <v>0</v>
      </c>
      <c r="H119" s="35">
        <f t="shared" si="52"/>
        <v>0</v>
      </c>
      <c r="I119" s="35">
        <f t="shared" si="52"/>
        <v>0</v>
      </c>
      <c r="J119" s="35">
        <f t="shared" si="52"/>
        <v>0</v>
      </c>
      <c r="K119" s="35">
        <f t="shared" si="52"/>
        <v>0</v>
      </c>
      <c r="L119" s="35">
        <f t="shared" si="52"/>
        <v>0</v>
      </c>
      <c r="M119" s="16"/>
    </row>
    <row r="120" spans="2:13" x14ac:dyDescent="0.3">
      <c r="B120" s="28"/>
      <c r="C120" s="3"/>
      <c r="D120" s="3">
        <v>1061</v>
      </c>
      <c r="E120" s="3" t="s">
        <v>113</v>
      </c>
      <c r="F120" s="35"/>
      <c r="G120" s="35"/>
      <c r="H120" s="42"/>
      <c r="I120" s="35"/>
      <c r="J120" s="35"/>
      <c r="K120" s="35"/>
      <c r="L120" s="35">
        <f t="shared" ref="L120:L122" si="53">J120-K120</f>
        <v>0</v>
      </c>
      <c r="M120" s="24" t="e">
        <f t="shared" ref="M120:M122" si="54">J120/I120</f>
        <v>#DIV/0!</v>
      </c>
    </row>
    <row r="121" spans="2:13" x14ac:dyDescent="0.3">
      <c r="B121" s="28"/>
      <c r="C121" s="3"/>
      <c r="D121" s="3">
        <v>1064</v>
      </c>
      <c r="E121" s="3" t="s">
        <v>23</v>
      </c>
      <c r="F121" s="35"/>
      <c r="G121" s="35"/>
      <c r="H121" s="42"/>
      <c r="I121" s="35"/>
      <c r="J121" s="35"/>
      <c r="K121" s="35"/>
      <c r="L121" s="35">
        <f t="shared" si="53"/>
        <v>0</v>
      </c>
      <c r="M121" s="24" t="e">
        <f t="shared" si="54"/>
        <v>#DIV/0!</v>
      </c>
    </row>
    <row r="122" spans="2:13" x14ac:dyDescent="0.3">
      <c r="B122" s="28"/>
      <c r="C122" s="3"/>
      <c r="D122" s="3">
        <v>1068</v>
      </c>
      <c r="E122" s="3" t="s">
        <v>114</v>
      </c>
      <c r="F122" s="35"/>
      <c r="G122" s="35"/>
      <c r="H122" s="42"/>
      <c r="I122" s="35"/>
      <c r="J122" s="35"/>
      <c r="K122" s="35"/>
      <c r="L122" s="35">
        <f t="shared" si="53"/>
        <v>0</v>
      </c>
      <c r="M122" s="24" t="e">
        <f t="shared" si="54"/>
        <v>#DIV/0!</v>
      </c>
    </row>
    <row r="123" spans="2:13" ht="28.95" customHeight="1" x14ac:dyDescent="0.3">
      <c r="B123" s="27">
        <v>13</v>
      </c>
      <c r="C123" s="1"/>
      <c r="D123" s="1"/>
      <c r="E123" s="1" t="s">
        <v>99</v>
      </c>
      <c r="F123" s="34">
        <f>SUM(F124,F131)</f>
        <v>0</v>
      </c>
      <c r="G123" s="34">
        <f t="shared" ref="G123:K123" si="55">SUM(G124,G131)</f>
        <v>0</v>
      </c>
      <c r="H123" s="34">
        <f t="shared" si="55"/>
        <v>0</v>
      </c>
      <c r="I123" s="34">
        <f t="shared" si="55"/>
        <v>0</v>
      </c>
      <c r="J123" s="34">
        <f t="shared" si="55"/>
        <v>0</v>
      </c>
      <c r="K123" s="34">
        <f t="shared" si="55"/>
        <v>0</v>
      </c>
      <c r="L123" s="34">
        <f>SUM(L124,L131)</f>
        <v>0</v>
      </c>
      <c r="M123" s="25" t="e">
        <f>J123/I123</f>
        <v>#DIV/0!</v>
      </c>
    </row>
    <row r="124" spans="2:13" x14ac:dyDescent="0.3">
      <c r="B124" s="27"/>
      <c r="C124" s="1">
        <v>131</v>
      </c>
      <c r="D124" s="1"/>
      <c r="E124" s="1" t="s">
        <v>100</v>
      </c>
      <c r="F124" s="34">
        <f>SUM(F125:F130)</f>
        <v>0</v>
      </c>
      <c r="G124" s="34">
        <f t="shared" ref="G124:L124" si="56">SUM(G125:G130)</f>
        <v>0</v>
      </c>
      <c r="H124" s="34">
        <f t="shared" si="56"/>
        <v>0</v>
      </c>
      <c r="I124" s="34">
        <f t="shared" si="56"/>
        <v>0</v>
      </c>
      <c r="J124" s="34">
        <f t="shared" si="56"/>
        <v>0</v>
      </c>
      <c r="K124" s="34">
        <f t="shared" si="56"/>
        <v>0</v>
      </c>
      <c r="L124" s="34">
        <f t="shared" si="56"/>
        <v>0</v>
      </c>
      <c r="M124" s="15"/>
    </row>
    <row r="125" spans="2:13" x14ac:dyDescent="0.3">
      <c r="B125" s="28"/>
      <c r="C125" s="3"/>
      <c r="D125" s="3">
        <v>1311</v>
      </c>
      <c r="E125" s="3" t="s">
        <v>116</v>
      </c>
      <c r="F125" s="35"/>
      <c r="G125" s="35"/>
      <c r="H125" s="42"/>
      <c r="I125" s="35"/>
      <c r="J125" s="35"/>
      <c r="K125" s="35"/>
      <c r="L125" s="35">
        <f>J125-K125</f>
        <v>0</v>
      </c>
      <c r="M125" s="24" t="e">
        <f t="shared" ref="M125:M130" si="57">J125/I125</f>
        <v>#DIV/0!</v>
      </c>
    </row>
    <row r="126" spans="2:13" x14ac:dyDescent="0.3">
      <c r="B126" s="28"/>
      <c r="C126" s="3"/>
      <c r="D126" s="3">
        <v>1312</v>
      </c>
      <c r="E126" s="3" t="s">
        <v>117</v>
      </c>
      <c r="F126" s="35"/>
      <c r="G126" s="35"/>
      <c r="H126" s="42"/>
      <c r="I126" s="35"/>
      <c r="J126" s="35"/>
      <c r="K126" s="35"/>
      <c r="L126" s="35">
        <f t="shared" ref="L126:L130" si="58">J126-K126</f>
        <v>0</v>
      </c>
      <c r="M126" s="24" t="e">
        <f t="shared" si="57"/>
        <v>#DIV/0!</v>
      </c>
    </row>
    <row r="127" spans="2:13" x14ac:dyDescent="0.3">
      <c r="B127" s="28"/>
      <c r="C127" s="3"/>
      <c r="D127" s="3">
        <v>1313</v>
      </c>
      <c r="E127" s="3" t="s">
        <v>118</v>
      </c>
      <c r="F127" s="35"/>
      <c r="G127" s="35"/>
      <c r="H127" s="42"/>
      <c r="I127" s="35"/>
      <c r="J127" s="35"/>
      <c r="K127" s="35"/>
      <c r="L127" s="35">
        <f t="shared" si="58"/>
        <v>0</v>
      </c>
      <c r="M127" s="24" t="e">
        <f t="shared" si="57"/>
        <v>#DIV/0!</v>
      </c>
    </row>
    <row r="128" spans="2:13" x14ac:dyDescent="0.3">
      <c r="B128" s="28"/>
      <c r="C128" s="3"/>
      <c r="D128" s="3">
        <v>1314</v>
      </c>
      <c r="E128" s="3" t="s">
        <v>119</v>
      </c>
      <c r="F128" s="35"/>
      <c r="G128" s="35"/>
      <c r="H128" s="42"/>
      <c r="I128" s="35"/>
      <c r="J128" s="35"/>
      <c r="K128" s="35"/>
      <c r="L128" s="35">
        <f t="shared" si="58"/>
        <v>0</v>
      </c>
      <c r="M128" s="24" t="e">
        <f t="shared" si="57"/>
        <v>#DIV/0!</v>
      </c>
    </row>
    <row r="129" spans="2:13" x14ac:dyDescent="0.3">
      <c r="B129" s="28"/>
      <c r="C129" s="3"/>
      <c r="D129" s="3">
        <v>1315</v>
      </c>
      <c r="E129" s="3" t="s">
        <v>120</v>
      </c>
      <c r="F129" s="35"/>
      <c r="G129" s="35"/>
      <c r="H129" s="42"/>
      <c r="I129" s="35"/>
      <c r="J129" s="35"/>
      <c r="K129" s="35"/>
      <c r="L129" s="35">
        <f t="shared" si="58"/>
        <v>0</v>
      </c>
      <c r="M129" s="24" t="e">
        <f t="shared" si="57"/>
        <v>#DIV/0!</v>
      </c>
    </row>
    <row r="130" spans="2:13" x14ac:dyDescent="0.3">
      <c r="B130" s="28"/>
      <c r="C130" s="3"/>
      <c r="D130" s="3">
        <v>1318</v>
      </c>
      <c r="E130" s="3" t="s">
        <v>121</v>
      </c>
      <c r="F130" s="35"/>
      <c r="G130" s="35"/>
      <c r="H130" s="42"/>
      <c r="I130" s="35"/>
      <c r="J130" s="35"/>
      <c r="K130" s="35"/>
      <c r="L130" s="35">
        <f t="shared" si="58"/>
        <v>0</v>
      </c>
      <c r="M130" s="24" t="e">
        <f t="shared" si="57"/>
        <v>#DIV/0!</v>
      </c>
    </row>
    <row r="131" spans="2:13" x14ac:dyDescent="0.3">
      <c r="B131" s="28"/>
      <c r="C131" s="17">
        <v>139</v>
      </c>
      <c r="D131" s="17"/>
      <c r="E131" s="17" t="s">
        <v>115</v>
      </c>
      <c r="F131" s="35">
        <f>SUM(F132)</f>
        <v>0</v>
      </c>
      <c r="G131" s="35">
        <f t="shared" ref="G131:L131" si="59">SUM(G132)</f>
        <v>0</v>
      </c>
      <c r="H131" s="35">
        <f t="shared" si="59"/>
        <v>0</v>
      </c>
      <c r="I131" s="35">
        <f t="shared" si="59"/>
        <v>0</v>
      </c>
      <c r="J131" s="35">
        <f t="shared" si="59"/>
        <v>0</v>
      </c>
      <c r="K131" s="35">
        <f t="shared" si="59"/>
        <v>0</v>
      </c>
      <c r="L131" s="35">
        <f t="shared" si="59"/>
        <v>0</v>
      </c>
      <c r="M131" s="16"/>
    </row>
    <row r="132" spans="2:13" x14ac:dyDescent="0.3">
      <c r="B132" s="28"/>
      <c r="C132" s="3"/>
      <c r="D132" s="3">
        <v>1390</v>
      </c>
      <c r="E132" s="3" t="s">
        <v>115</v>
      </c>
      <c r="F132" s="35"/>
      <c r="G132" s="35"/>
      <c r="H132" s="42"/>
      <c r="I132" s="35"/>
      <c r="J132" s="35"/>
      <c r="K132" s="35"/>
      <c r="L132" s="35">
        <f t="shared" ref="L132" si="60">J132-K132</f>
        <v>0</v>
      </c>
      <c r="M132" s="24" t="e">
        <f>J132/I132</f>
        <v>#DIV/0!</v>
      </c>
    </row>
    <row r="133" spans="2:13" ht="28.95" customHeight="1" x14ac:dyDescent="0.3">
      <c r="B133" s="27">
        <v>14</v>
      </c>
      <c r="C133" s="1"/>
      <c r="D133" s="1"/>
      <c r="E133" s="1" t="s">
        <v>104</v>
      </c>
      <c r="F133" s="34">
        <f>SUM(F134,F138,F146)</f>
        <v>0</v>
      </c>
      <c r="G133" s="34">
        <f t="shared" ref="G133:K133" si="61">SUM(G134,G138,G146)</f>
        <v>0</v>
      </c>
      <c r="H133" s="34">
        <f t="shared" si="61"/>
        <v>0</v>
      </c>
      <c r="I133" s="34">
        <f t="shared" si="61"/>
        <v>0</v>
      </c>
      <c r="J133" s="34">
        <f t="shared" si="61"/>
        <v>0</v>
      </c>
      <c r="K133" s="34">
        <f t="shared" si="61"/>
        <v>0</v>
      </c>
      <c r="L133" s="34">
        <f>SUM(L134,L138,L146)</f>
        <v>0</v>
      </c>
      <c r="M133" s="25" t="e">
        <f>J133/I133</f>
        <v>#DIV/0!</v>
      </c>
    </row>
    <row r="134" spans="2:13" x14ac:dyDescent="0.3">
      <c r="B134" s="27"/>
      <c r="C134" s="1">
        <v>141</v>
      </c>
      <c r="D134" s="1"/>
      <c r="E134" s="1" t="s">
        <v>122</v>
      </c>
      <c r="F134" s="34">
        <f>SUM(F135:F137)</f>
        <v>0</v>
      </c>
      <c r="G134" s="34">
        <f t="shared" ref="G134:L134" si="62">SUM(G135:G137)</f>
        <v>0</v>
      </c>
      <c r="H134" s="34">
        <f t="shared" si="62"/>
        <v>0</v>
      </c>
      <c r="I134" s="34">
        <f t="shared" si="62"/>
        <v>0</v>
      </c>
      <c r="J134" s="34">
        <f t="shared" si="62"/>
        <v>0</v>
      </c>
      <c r="K134" s="34">
        <f t="shared" si="62"/>
        <v>0</v>
      </c>
      <c r="L134" s="34">
        <f t="shared" si="62"/>
        <v>0</v>
      </c>
      <c r="M134" s="15"/>
    </row>
    <row r="135" spans="2:13" x14ac:dyDescent="0.3">
      <c r="B135" s="27"/>
      <c r="C135" s="1"/>
      <c r="D135" s="19">
        <v>1411</v>
      </c>
      <c r="E135" s="19" t="s">
        <v>125</v>
      </c>
      <c r="F135" s="34"/>
      <c r="G135" s="34"/>
      <c r="H135" s="34"/>
      <c r="I135" s="34"/>
      <c r="J135" s="34"/>
      <c r="K135" s="34"/>
      <c r="L135" s="35">
        <f t="shared" ref="L135:L137" si="63">J135-K135</f>
        <v>0</v>
      </c>
      <c r="M135" s="24" t="e">
        <f t="shared" ref="M135:M137" si="64">J135/I135</f>
        <v>#DIV/0!</v>
      </c>
    </row>
    <row r="136" spans="2:13" x14ac:dyDescent="0.3">
      <c r="B136" s="27"/>
      <c r="C136" s="1"/>
      <c r="D136" s="19">
        <v>1415</v>
      </c>
      <c r="E136" s="19" t="s">
        <v>124</v>
      </c>
      <c r="F136" s="34"/>
      <c r="G136" s="34"/>
      <c r="H136" s="34"/>
      <c r="I136" s="34"/>
      <c r="J136" s="34"/>
      <c r="K136" s="34"/>
      <c r="L136" s="35">
        <f t="shared" si="63"/>
        <v>0</v>
      </c>
      <c r="M136" s="24" t="e">
        <f t="shared" si="64"/>
        <v>#DIV/0!</v>
      </c>
    </row>
    <row r="137" spans="2:13" x14ac:dyDescent="0.3">
      <c r="B137" s="27"/>
      <c r="C137" s="1"/>
      <c r="D137" s="19">
        <v>1418</v>
      </c>
      <c r="E137" s="19" t="s">
        <v>123</v>
      </c>
      <c r="F137" s="34"/>
      <c r="G137" s="34"/>
      <c r="H137" s="34"/>
      <c r="I137" s="34"/>
      <c r="J137" s="34"/>
      <c r="K137" s="34"/>
      <c r="L137" s="35">
        <f t="shared" si="63"/>
        <v>0</v>
      </c>
      <c r="M137" s="24" t="e">
        <f t="shared" si="64"/>
        <v>#DIV/0!</v>
      </c>
    </row>
    <row r="138" spans="2:13" x14ac:dyDescent="0.3">
      <c r="B138" s="27"/>
      <c r="C138" s="1">
        <v>142</v>
      </c>
      <c r="D138" s="1"/>
      <c r="E138" s="1" t="s">
        <v>105</v>
      </c>
      <c r="F138" s="34">
        <f>SUM(F139:F145)</f>
        <v>0</v>
      </c>
      <c r="G138" s="34">
        <f t="shared" ref="G138:L138" si="65">SUM(G139:G145)</f>
        <v>0</v>
      </c>
      <c r="H138" s="34">
        <f t="shared" si="65"/>
        <v>0</v>
      </c>
      <c r="I138" s="34">
        <f t="shared" si="65"/>
        <v>0</v>
      </c>
      <c r="J138" s="34">
        <f t="shared" si="65"/>
        <v>0</v>
      </c>
      <c r="K138" s="34">
        <f t="shared" si="65"/>
        <v>0</v>
      </c>
      <c r="L138" s="34">
        <f t="shared" si="65"/>
        <v>0</v>
      </c>
      <c r="M138" s="15"/>
    </row>
    <row r="139" spans="2:13" x14ac:dyDescent="0.3">
      <c r="B139" s="27"/>
      <c r="C139" s="1"/>
      <c r="D139" s="3">
        <v>1421</v>
      </c>
      <c r="E139" s="3" t="s">
        <v>20</v>
      </c>
      <c r="F139" s="34"/>
      <c r="G139" s="34"/>
      <c r="H139" s="34"/>
      <c r="I139" s="34"/>
      <c r="J139" s="34"/>
      <c r="K139" s="34"/>
      <c r="L139" s="35">
        <f t="shared" ref="L139:L145" si="66">J139-K139</f>
        <v>0</v>
      </c>
      <c r="M139" s="24" t="e">
        <f t="shared" ref="M139:M145" si="67">J139/I139</f>
        <v>#DIV/0!</v>
      </c>
    </row>
    <row r="140" spans="2:13" x14ac:dyDescent="0.3">
      <c r="B140" s="27"/>
      <c r="C140" s="1"/>
      <c r="D140" s="3">
        <v>1423</v>
      </c>
      <c r="E140" s="3" t="s">
        <v>126</v>
      </c>
      <c r="F140" s="34"/>
      <c r="G140" s="34"/>
      <c r="H140" s="34"/>
      <c r="I140" s="34"/>
      <c r="J140" s="34"/>
      <c r="K140" s="34"/>
      <c r="L140" s="35">
        <f t="shared" si="66"/>
        <v>0</v>
      </c>
      <c r="M140" s="24" t="e">
        <f t="shared" si="67"/>
        <v>#DIV/0!</v>
      </c>
    </row>
    <row r="141" spans="2:13" x14ac:dyDescent="0.3">
      <c r="B141" s="27"/>
      <c r="C141" s="1"/>
      <c r="D141" s="19">
        <v>1424</v>
      </c>
      <c r="E141" s="19" t="s">
        <v>127</v>
      </c>
      <c r="F141" s="34"/>
      <c r="G141" s="34"/>
      <c r="H141" s="34"/>
      <c r="I141" s="34"/>
      <c r="J141" s="34"/>
      <c r="K141" s="34"/>
      <c r="L141" s="35">
        <f t="shared" si="66"/>
        <v>0</v>
      </c>
      <c r="M141" s="24" t="e">
        <f t="shared" si="67"/>
        <v>#DIV/0!</v>
      </c>
    </row>
    <row r="142" spans="2:13" x14ac:dyDescent="0.3">
      <c r="B142" s="27"/>
      <c r="C142" s="1"/>
      <c r="D142" s="19">
        <v>1425</v>
      </c>
      <c r="E142" s="19" t="s">
        <v>128</v>
      </c>
      <c r="F142" s="34"/>
      <c r="G142" s="34"/>
      <c r="H142" s="34"/>
      <c r="I142" s="34"/>
      <c r="J142" s="34"/>
      <c r="K142" s="34"/>
      <c r="L142" s="35">
        <f t="shared" si="66"/>
        <v>0</v>
      </c>
      <c r="M142" s="24" t="e">
        <f t="shared" si="67"/>
        <v>#DIV/0!</v>
      </c>
    </row>
    <row r="143" spans="2:13" x14ac:dyDescent="0.3">
      <c r="B143" s="27"/>
      <c r="C143" s="1"/>
      <c r="D143" s="19">
        <v>1426</v>
      </c>
      <c r="E143" s="19" t="s">
        <v>129</v>
      </c>
      <c r="F143" s="34"/>
      <c r="G143" s="34"/>
      <c r="H143" s="34"/>
      <c r="I143" s="34"/>
      <c r="J143" s="34"/>
      <c r="K143" s="34"/>
      <c r="L143" s="35">
        <f t="shared" si="66"/>
        <v>0</v>
      </c>
      <c r="M143" s="24" t="e">
        <f t="shared" si="67"/>
        <v>#DIV/0!</v>
      </c>
    </row>
    <row r="144" spans="2:13" x14ac:dyDescent="0.3">
      <c r="B144" s="27"/>
      <c r="C144" s="1"/>
      <c r="D144" s="19">
        <v>1427</v>
      </c>
      <c r="E144" s="19" t="s">
        <v>130</v>
      </c>
      <c r="F144" s="34"/>
      <c r="G144" s="34"/>
      <c r="H144" s="34"/>
      <c r="I144" s="34"/>
      <c r="J144" s="34"/>
      <c r="K144" s="34"/>
      <c r="L144" s="35">
        <f t="shared" si="66"/>
        <v>0</v>
      </c>
      <c r="M144" s="24" t="e">
        <f t="shared" si="67"/>
        <v>#DIV/0!</v>
      </c>
    </row>
    <row r="145" spans="2:14" x14ac:dyDescent="0.3">
      <c r="B145" s="28"/>
      <c r="C145" s="3"/>
      <c r="D145" s="3">
        <v>1428</v>
      </c>
      <c r="E145" s="3" t="s">
        <v>131</v>
      </c>
      <c r="F145" s="35"/>
      <c r="G145" s="35"/>
      <c r="H145" s="42"/>
      <c r="I145" s="35"/>
      <c r="J145" s="35"/>
      <c r="K145" s="35"/>
      <c r="L145" s="35">
        <f t="shared" si="66"/>
        <v>0</v>
      </c>
      <c r="M145" s="24" t="e">
        <f t="shared" si="67"/>
        <v>#DIV/0!</v>
      </c>
    </row>
    <row r="146" spans="2:14" x14ac:dyDescent="0.3">
      <c r="B146" s="28"/>
      <c r="C146" s="17">
        <v>147</v>
      </c>
      <c r="D146" s="17"/>
      <c r="E146" s="17" t="s">
        <v>132</v>
      </c>
      <c r="F146" s="35">
        <f>SUM(F147:F151)</f>
        <v>0</v>
      </c>
      <c r="G146" s="35">
        <f t="shared" ref="G146:L146" si="68">SUM(G147:G151)</f>
        <v>0</v>
      </c>
      <c r="H146" s="35">
        <f t="shared" si="68"/>
        <v>0</v>
      </c>
      <c r="I146" s="35">
        <f t="shared" si="68"/>
        <v>0</v>
      </c>
      <c r="J146" s="35">
        <f t="shared" si="68"/>
        <v>0</v>
      </c>
      <c r="K146" s="35">
        <f t="shared" si="68"/>
        <v>0</v>
      </c>
      <c r="L146" s="35">
        <f t="shared" si="68"/>
        <v>0</v>
      </c>
      <c r="M146" s="16"/>
    </row>
    <row r="147" spans="2:14" x14ac:dyDescent="0.3">
      <c r="B147" s="28"/>
      <c r="C147" s="3"/>
      <c r="D147" s="3">
        <v>1471</v>
      </c>
      <c r="E147" s="3" t="s">
        <v>134</v>
      </c>
      <c r="F147" s="35"/>
      <c r="G147" s="35"/>
      <c r="H147" s="42"/>
      <c r="I147" s="35"/>
      <c r="J147" s="35"/>
      <c r="K147" s="35"/>
      <c r="L147" s="35">
        <f t="shared" ref="L147:L150" si="69">J147-K147</f>
        <v>0</v>
      </c>
      <c r="M147" s="24" t="e">
        <f t="shared" ref="M147:M151" si="70">J147/I147</f>
        <v>#DIV/0!</v>
      </c>
    </row>
    <row r="148" spans="2:14" x14ac:dyDescent="0.3">
      <c r="B148" s="28"/>
      <c r="C148" s="3"/>
      <c r="D148" s="3">
        <v>1472</v>
      </c>
      <c r="E148" s="3" t="s">
        <v>135</v>
      </c>
      <c r="F148" s="35"/>
      <c r="G148" s="35"/>
      <c r="H148" s="42"/>
      <c r="I148" s="35"/>
      <c r="J148" s="35"/>
      <c r="K148" s="35"/>
      <c r="L148" s="35">
        <f t="shared" si="69"/>
        <v>0</v>
      </c>
      <c r="M148" s="24" t="e">
        <f t="shared" si="70"/>
        <v>#DIV/0!</v>
      </c>
    </row>
    <row r="149" spans="2:14" x14ac:dyDescent="0.3">
      <c r="B149" s="28"/>
      <c r="C149" s="3"/>
      <c r="D149" s="3">
        <v>1473</v>
      </c>
      <c r="E149" s="3" t="s">
        <v>136</v>
      </c>
      <c r="F149" s="35"/>
      <c r="G149" s="35"/>
      <c r="H149" s="42"/>
      <c r="I149" s="35"/>
      <c r="J149" s="35"/>
      <c r="K149" s="35"/>
      <c r="L149" s="35">
        <f t="shared" si="69"/>
        <v>0</v>
      </c>
      <c r="M149" s="24" t="e">
        <f t="shared" si="70"/>
        <v>#DIV/0!</v>
      </c>
    </row>
    <row r="150" spans="2:14" x14ac:dyDescent="0.3">
      <c r="B150" s="28"/>
      <c r="C150" s="3"/>
      <c r="D150" s="3">
        <v>1474</v>
      </c>
      <c r="E150" s="3" t="s">
        <v>137</v>
      </c>
      <c r="F150" s="35"/>
      <c r="G150" s="35"/>
      <c r="H150" s="42"/>
      <c r="I150" s="35"/>
      <c r="J150" s="35"/>
      <c r="K150" s="35"/>
      <c r="L150" s="35">
        <f t="shared" si="69"/>
        <v>0</v>
      </c>
      <c r="M150" s="24" t="e">
        <f t="shared" si="70"/>
        <v>#DIV/0!</v>
      </c>
    </row>
    <row r="151" spans="2:14" x14ac:dyDescent="0.3">
      <c r="B151" s="28"/>
      <c r="C151" s="3"/>
      <c r="D151" s="3">
        <v>1478</v>
      </c>
      <c r="E151" s="3" t="s">
        <v>133</v>
      </c>
      <c r="F151" s="35"/>
      <c r="G151" s="35"/>
      <c r="H151" s="42"/>
      <c r="I151" s="35"/>
      <c r="J151" s="35"/>
      <c r="K151" s="35"/>
      <c r="L151" s="35">
        <f>J151-K151</f>
        <v>0</v>
      </c>
      <c r="M151" s="24" t="e">
        <f t="shared" si="70"/>
        <v>#DIV/0!</v>
      </c>
    </row>
    <row r="152" spans="2:14" s="10" customFormat="1" ht="30" customHeight="1" x14ac:dyDescent="0.3">
      <c r="B152" s="27">
        <v>16</v>
      </c>
      <c r="C152" s="17"/>
      <c r="D152" s="17"/>
      <c r="E152" s="17" t="s">
        <v>166</v>
      </c>
      <c r="F152" s="43">
        <f>SUM(F153,F156,F159,F161,F163)</f>
        <v>0</v>
      </c>
      <c r="G152" s="43">
        <f t="shared" ref="G152:K152" si="71">SUM(G153,G156,G159,G161,G163)</f>
        <v>0</v>
      </c>
      <c r="H152" s="43">
        <f t="shared" si="71"/>
        <v>0</v>
      </c>
      <c r="I152" s="43">
        <f t="shared" si="71"/>
        <v>0</v>
      </c>
      <c r="J152" s="43">
        <f t="shared" si="71"/>
        <v>0</v>
      </c>
      <c r="K152" s="43">
        <f t="shared" si="71"/>
        <v>0</v>
      </c>
      <c r="L152" s="43">
        <f>SUM(L153,L156,L159,L161,L163)</f>
        <v>0</v>
      </c>
      <c r="M152" s="25" t="e">
        <f>J152/I152</f>
        <v>#DIV/0!</v>
      </c>
      <c r="N152" s="32"/>
    </row>
    <row r="153" spans="2:14" s="10" customFormat="1" x14ac:dyDescent="0.3">
      <c r="B153" s="27"/>
      <c r="C153" s="17">
        <v>161</v>
      </c>
      <c r="D153" s="17"/>
      <c r="E153" s="17" t="s">
        <v>320</v>
      </c>
      <c r="F153" s="43">
        <f>SUM(F154:F155)</f>
        <v>0</v>
      </c>
      <c r="G153" s="43">
        <f t="shared" ref="G153:L153" si="72">SUM(G154:G155)</f>
        <v>0</v>
      </c>
      <c r="H153" s="43">
        <f t="shared" si="72"/>
        <v>0</v>
      </c>
      <c r="I153" s="43">
        <f t="shared" si="72"/>
        <v>0</v>
      </c>
      <c r="J153" s="43">
        <f t="shared" si="72"/>
        <v>0</v>
      </c>
      <c r="K153" s="43">
        <f t="shared" si="72"/>
        <v>0</v>
      </c>
      <c r="L153" s="43">
        <f t="shared" si="72"/>
        <v>0</v>
      </c>
      <c r="M153" s="43"/>
      <c r="N153" s="32"/>
    </row>
    <row r="154" spans="2:14" x14ac:dyDescent="0.3">
      <c r="B154" s="27"/>
      <c r="C154" s="17"/>
      <c r="D154" s="3">
        <v>1611</v>
      </c>
      <c r="E154" s="3" t="s">
        <v>321</v>
      </c>
      <c r="F154" s="35"/>
      <c r="G154" s="35"/>
      <c r="H154" s="35"/>
      <c r="I154" s="35"/>
      <c r="J154" s="35"/>
      <c r="K154" s="35"/>
      <c r="L154" s="35">
        <f>J154-K154</f>
        <v>0</v>
      </c>
      <c r="M154" s="24" t="e">
        <f t="shared" ref="M154:M155" si="73">J154/I154</f>
        <v>#DIV/0!</v>
      </c>
      <c r="N154" s="31"/>
    </row>
    <row r="155" spans="2:14" x14ac:dyDescent="0.3">
      <c r="B155" s="27"/>
      <c r="C155" s="17"/>
      <c r="D155" s="3">
        <v>1612</v>
      </c>
      <c r="E155" s="3" t="s">
        <v>322</v>
      </c>
      <c r="F155" s="35"/>
      <c r="G155" s="35"/>
      <c r="H155" s="35"/>
      <c r="I155" s="35"/>
      <c r="J155" s="35"/>
      <c r="K155" s="35"/>
      <c r="L155" s="35">
        <f>J155-K155</f>
        <v>0</v>
      </c>
      <c r="M155" s="24" t="e">
        <f t="shared" si="73"/>
        <v>#DIV/0!</v>
      </c>
      <c r="N155" s="31"/>
    </row>
    <row r="156" spans="2:14" s="10" customFormat="1" x14ac:dyDescent="0.3">
      <c r="B156" s="27"/>
      <c r="C156" s="17">
        <v>162</v>
      </c>
      <c r="D156" s="17"/>
      <c r="E156" s="17" t="s">
        <v>323</v>
      </c>
      <c r="F156" s="43">
        <f>SUM(F157:F158)</f>
        <v>0</v>
      </c>
      <c r="G156" s="43">
        <f t="shared" ref="G156:L156" si="74">SUM(G157:G158)</f>
        <v>0</v>
      </c>
      <c r="H156" s="43">
        <f t="shared" si="74"/>
        <v>0</v>
      </c>
      <c r="I156" s="43">
        <f t="shared" si="74"/>
        <v>0</v>
      </c>
      <c r="J156" s="43">
        <f t="shared" si="74"/>
        <v>0</v>
      </c>
      <c r="K156" s="43">
        <f t="shared" si="74"/>
        <v>0</v>
      </c>
      <c r="L156" s="43">
        <f t="shared" si="74"/>
        <v>0</v>
      </c>
      <c r="M156" s="17"/>
      <c r="N156" s="32"/>
    </row>
    <row r="157" spans="2:14" x14ac:dyDescent="0.3">
      <c r="B157" s="27"/>
      <c r="C157" s="17"/>
      <c r="D157" s="3">
        <v>1621</v>
      </c>
      <c r="E157" s="3" t="s">
        <v>321</v>
      </c>
      <c r="F157" s="35"/>
      <c r="G157" s="35"/>
      <c r="H157" s="35"/>
      <c r="I157" s="35"/>
      <c r="J157" s="35"/>
      <c r="K157" s="35"/>
      <c r="L157" s="35">
        <f t="shared" ref="L157:L158" si="75">J157-K157</f>
        <v>0</v>
      </c>
      <c r="M157" s="24" t="e">
        <f t="shared" ref="M157:M158" si="76">J157/I157</f>
        <v>#DIV/0!</v>
      </c>
      <c r="N157" s="31"/>
    </row>
    <row r="158" spans="2:14" x14ac:dyDescent="0.3">
      <c r="B158" s="27"/>
      <c r="C158" s="17"/>
      <c r="D158" s="3">
        <v>1622</v>
      </c>
      <c r="E158" s="3" t="s">
        <v>322</v>
      </c>
      <c r="F158" s="35"/>
      <c r="G158" s="35"/>
      <c r="H158" s="35"/>
      <c r="I158" s="35"/>
      <c r="J158" s="35"/>
      <c r="K158" s="35"/>
      <c r="L158" s="35">
        <f t="shared" si="75"/>
        <v>0</v>
      </c>
      <c r="M158" s="24" t="e">
        <f t="shared" si="76"/>
        <v>#DIV/0!</v>
      </c>
      <c r="N158" s="31"/>
    </row>
    <row r="159" spans="2:14" s="10" customFormat="1" x14ac:dyDescent="0.3">
      <c r="B159" s="27"/>
      <c r="C159" s="17">
        <v>165</v>
      </c>
      <c r="D159" s="17"/>
      <c r="E159" s="17" t="s">
        <v>324</v>
      </c>
      <c r="F159" s="43">
        <f>SUM(F160)</f>
        <v>0</v>
      </c>
      <c r="G159" s="43">
        <f t="shared" ref="G159:L159" si="77">SUM(G160)</f>
        <v>0</v>
      </c>
      <c r="H159" s="43">
        <f t="shared" si="77"/>
        <v>0</v>
      </c>
      <c r="I159" s="43">
        <f t="shared" si="77"/>
        <v>0</v>
      </c>
      <c r="J159" s="43">
        <f t="shared" si="77"/>
        <v>0</v>
      </c>
      <c r="K159" s="43">
        <f t="shared" si="77"/>
        <v>0</v>
      </c>
      <c r="L159" s="43">
        <f t="shared" si="77"/>
        <v>0</v>
      </c>
      <c r="M159" s="17"/>
      <c r="N159" s="32"/>
    </row>
    <row r="160" spans="2:14" x14ac:dyDescent="0.3">
      <c r="B160" s="27"/>
      <c r="C160" s="17"/>
      <c r="D160" s="3">
        <v>1650</v>
      </c>
      <c r="E160" s="3" t="s">
        <v>324</v>
      </c>
      <c r="F160" s="35"/>
      <c r="G160" s="35"/>
      <c r="H160" s="35"/>
      <c r="I160" s="35"/>
      <c r="J160" s="35"/>
      <c r="K160" s="35"/>
      <c r="L160" s="35">
        <f>J160-K160</f>
        <v>0</v>
      </c>
      <c r="M160" s="24" t="e">
        <f>J160/I160</f>
        <v>#DIV/0!</v>
      </c>
      <c r="N160" s="31"/>
    </row>
    <row r="161" spans="2:14" s="10" customFormat="1" x14ac:dyDescent="0.3">
      <c r="B161" s="27"/>
      <c r="C161" s="17">
        <v>167</v>
      </c>
      <c r="D161" s="17"/>
      <c r="E161" s="17" t="s">
        <v>325</v>
      </c>
      <c r="F161" s="43">
        <f>SUM(F162)</f>
        <v>0</v>
      </c>
      <c r="G161" s="43">
        <f t="shared" ref="G161:L161" si="78">SUM(G162)</f>
        <v>0</v>
      </c>
      <c r="H161" s="43">
        <f t="shared" si="78"/>
        <v>0</v>
      </c>
      <c r="I161" s="43">
        <f t="shared" si="78"/>
        <v>0</v>
      </c>
      <c r="J161" s="43">
        <f t="shared" si="78"/>
        <v>0</v>
      </c>
      <c r="K161" s="43">
        <f t="shared" si="78"/>
        <v>0</v>
      </c>
      <c r="L161" s="43">
        <f t="shared" si="78"/>
        <v>0</v>
      </c>
      <c r="M161" s="17"/>
      <c r="N161" s="32"/>
    </row>
    <row r="162" spans="2:14" x14ac:dyDescent="0.3">
      <c r="B162" s="27"/>
      <c r="C162" s="17"/>
      <c r="D162" s="3">
        <v>1670</v>
      </c>
      <c r="E162" s="3" t="s">
        <v>325</v>
      </c>
      <c r="F162" s="35"/>
      <c r="G162" s="35"/>
      <c r="H162" s="35"/>
      <c r="I162" s="35"/>
      <c r="J162" s="35"/>
      <c r="K162" s="35"/>
      <c r="L162" s="35">
        <f>J162-K162</f>
        <v>0</v>
      </c>
      <c r="M162" s="24" t="e">
        <f>J162/I162</f>
        <v>#DIV/0!</v>
      </c>
      <c r="N162" s="31"/>
    </row>
    <row r="163" spans="2:14" s="10" customFormat="1" x14ac:dyDescent="0.3">
      <c r="B163" s="27"/>
      <c r="C163" s="17">
        <v>168</v>
      </c>
      <c r="D163" s="17"/>
      <c r="E163" s="17" t="s">
        <v>326</v>
      </c>
      <c r="F163" s="43">
        <f>SUM(F164:F165)</f>
        <v>0</v>
      </c>
      <c r="G163" s="43">
        <f t="shared" ref="G163:L163" si="79">SUM(G164:G165)</f>
        <v>0</v>
      </c>
      <c r="H163" s="43">
        <f t="shared" si="79"/>
        <v>0</v>
      </c>
      <c r="I163" s="43">
        <f t="shared" si="79"/>
        <v>0</v>
      </c>
      <c r="J163" s="43">
        <f t="shared" si="79"/>
        <v>0</v>
      </c>
      <c r="K163" s="43">
        <f t="shared" si="79"/>
        <v>0</v>
      </c>
      <c r="L163" s="43">
        <f t="shared" si="79"/>
        <v>0</v>
      </c>
      <c r="M163" s="17"/>
      <c r="N163" s="32"/>
    </row>
    <row r="164" spans="2:14" x14ac:dyDescent="0.3">
      <c r="B164" s="27"/>
      <c r="C164" s="17"/>
      <c r="D164" s="3">
        <v>1680</v>
      </c>
      <c r="E164" s="3" t="s">
        <v>326</v>
      </c>
      <c r="F164" s="35"/>
      <c r="G164" s="35"/>
      <c r="H164" s="35"/>
      <c r="I164" s="35"/>
      <c r="J164" s="35"/>
      <c r="K164" s="35"/>
      <c r="L164" s="35">
        <f t="shared" ref="L164:L165" si="80">J164-K164</f>
        <v>0</v>
      </c>
      <c r="M164" s="24" t="e">
        <f t="shared" ref="M164:M165" si="81">J164/I164</f>
        <v>#DIV/0!</v>
      </c>
      <c r="N164" s="31"/>
    </row>
    <row r="165" spans="2:14" x14ac:dyDescent="0.3">
      <c r="B165" s="27"/>
      <c r="C165" s="17"/>
      <c r="D165" s="3">
        <v>1688</v>
      </c>
      <c r="E165" s="3" t="s">
        <v>327</v>
      </c>
      <c r="F165" s="35"/>
      <c r="G165" s="35"/>
      <c r="H165" s="35"/>
      <c r="I165" s="35"/>
      <c r="J165" s="35"/>
      <c r="K165" s="35"/>
      <c r="L165" s="35">
        <f t="shared" si="80"/>
        <v>0</v>
      </c>
      <c r="M165" s="24" t="e">
        <f t="shared" si="81"/>
        <v>#DIV/0!</v>
      </c>
      <c r="N165" s="31"/>
    </row>
    <row r="166" spans="2:14" ht="29.4" customHeight="1" x14ac:dyDescent="0.3">
      <c r="B166" s="29"/>
      <c r="C166" s="2"/>
      <c r="D166" s="2"/>
      <c r="E166" s="2" t="s">
        <v>21</v>
      </c>
      <c r="F166" s="38">
        <f>F123+F133+F152+F109</f>
        <v>0</v>
      </c>
      <c r="G166" s="38">
        <f t="shared" ref="G166:L166" si="82">G123+G133+G152+G109</f>
        <v>0</v>
      </c>
      <c r="H166" s="38">
        <f t="shared" si="82"/>
        <v>0</v>
      </c>
      <c r="I166" s="38">
        <f t="shared" si="82"/>
        <v>0</v>
      </c>
      <c r="J166" s="38">
        <f t="shared" si="82"/>
        <v>0</v>
      </c>
      <c r="K166" s="38">
        <f t="shared" si="82"/>
        <v>0</v>
      </c>
      <c r="L166" s="38">
        <f t="shared" si="82"/>
        <v>0</v>
      </c>
      <c r="M166" s="25" t="e">
        <f>J166/I166</f>
        <v>#DIV/0!</v>
      </c>
    </row>
    <row r="167" spans="2:14" ht="29.4" customHeight="1" x14ac:dyDescent="0.3">
      <c r="B167" s="27">
        <v>10</v>
      </c>
      <c r="C167" s="1"/>
      <c r="D167" s="1"/>
      <c r="E167" s="1" t="s">
        <v>106</v>
      </c>
      <c r="F167" s="34">
        <f>SUM(F168,F177)</f>
        <v>0</v>
      </c>
      <c r="G167" s="34">
        <f t="shared" ref="G167:K167" si="83">SUM(G168,G177)</f>
        <v>0</v>
      </c>
      <c r="H167" s="34">
        <f t="shared" si="83"/>
        <v>0</v>
      </c>
      <c r="I167" s="34">
        <f t="shared" si="83"/>
        <v>0</v>
      </c>
      <c r="J167" s="34">
        <f t="shared" si="83"/>
        <v>0</v>
      </c>
      <c r="K167" s="34">
        <f t="shared" si="83"/>
        <v>0</v>
      </c>
      <c r="L167" s="34">
        <f>SUM(L168,L177)</f>
        <v>0</v>
      </c>
      <c r="M167" s="25" t="e">
        <f>J167/I167</f>
        <v>#DIV/0!</v>
      </c>
    </row>
    <row r="168" spans="2:14" x14ac:dyDescent="0.3">
      <c r="B168" s="27"/>
      <c r="C168" s="1">
        <v>101</v>
      </c>
      <c r="D168" s="1"/>
      <c r="E168" s="1" t="s">
        <v>101</v>
      </c>
      <c r="F168" s="34">
        <f>SUM(F169:F176)</f>
        <v>0</v>
      </c>
      <c r="G168" s="34">
        <f t="shared" ref="G168:L168" si="84">SUM(G169:G176)</f>
        <v>0</v>
      </c>
      <c r="H168" s="34">
        <f t="shared" si="84"/>
        <v>0</v>
      </c>
      <c r="I168" s="34">
        <f t="shared" si="84"/>
        <v>0</v>
      </c>
      <c r="J168" s="34">
        <f t="shared" si="84"/>
        <v>0</v>
      </c>
      <c r="K168" s="34">
        <f t="shared" si="84"/>
        <v>0</v>
      </c>
      <c r="L168" s="34">
        <f t="shared" si="84"/>
        <v>0</v>
      </c>
      <c r="M168" s="15"/>
    </row>
    <row r="169" spans="2:14" x14ac:dyDescent="0.3">
      <c r="B169" s="28"/>
      <c r="C169" s="3"/>
      <c r="D169" s="3">
        <v>1011</v>
      </c>
      <c r="E169" s="3" t="s">
        <v>107</v>
      </c>
      <c r="F169" s="35"/>
      <c r="G169" s="35"/>
      <c r="H169" s="42"/>
      <c r="I169" s="35"/>
      <c r="J169" s="35"/>
      <c r="K169" s="35"/>
      <c r="L169" s="35">
        <f t="shared" ref="L169:L176" si="85">J169-K169</f>
        <v>0</v>
      </c>
      <c r="M169" s="24" t="e">
        <f>J169/I169</f>
        <v>#DIV/0!</v>
      </c>
    </row>
    <row r="170" spans="2:14" x14ac:dyDescent="0.3">
      <c r="B170" s="28"/>
      <c r="C170" s="3"/>
      <c r="D170" s="3">
        <v>1012</v>
      </c>
      <c r="E170" s="3" t="s">
        <v>22</v>
      </c>
      <c r="F170" s="35"/>
      <c r="G170" s="35"/>
      <c r="H170" s="42"/>
      <c r="I170" s="35"/>
      <c r="J170" s="35"/>
      <c r="K170" s="35"/>
      <c r="L170" s="35">
        <f t="shared" si="85"/>
        <v>0</v>
      </c>
      <c r="M170" s="24" t="e">
        <f>J170/I170</f>
        <v>#DIV/0!</v>
      </c>
    </row>
    <row r="171" spans="2:14" x14ac:dyDescent="0.3">
      <c r="B171" s="28"/>
      <c r="C171" s="3"/>
      <c r="D171" s="3">
        <v>1013</v>
      </c>
      <c r="E171" s="3" t="s">
        <v>108</v>
      </c>
      <c r="F171" s="35"/>
      <c r="G171" s="35"/>
      <c r="H171" s="42"/>
      <c r="I171" s="35"/>
      <c r="J171" s="35"/>
      <c r="K171" s="35"/>
      <c r="L171" s="35">
        <f t="shared" si="85"/>
        <v>0</v>
      </c>
      <c r="M171" s="24" t="e">
        <f>J171/I171</f>
        <v>#DIV/0!</v>
      </c>
    </row>
    <row r="172" spans="2:14" x14ac:dyDescent="0.3">
      <c r="B172" s="28"/>
      <c r="C172" s="3"/>
      <c r="D172" s="3">
        <v>1014</v>
      </c>
      <c r="E172" s="3" t="s">
        <v>109</v>
      </c>
      <c r="F172" s="35"/>
      <c r="G172" s="35"/>
      <c r="H172" s="42"/>
      <c r="I172" s="35"/>
      <c r="J172" s="35"/>
      <c r="K172" s="35"/>
      <c r="L172" s="35">
        <f t="shared" si="85"/>
        <v>0</v>
      </c>
      <c r="M172" s="24" t="e">
        <f>J172/I172</f>
        <v>#DIV/0!</v>
      </c>
    </row>
    <row r="173" spans="2:14" x14ac:dyDescent="0.3">
      <c r="B173" s="28"/>
      <c r="C173" s="3"/>
      <c r="D173" s="3">
        <v>1015</v>
      </c>
      <c r="E173" s="3" t="s">
        <v>110</v>
      </c>
      <c r="F173" s="35"/>
      <c r="G173" s="35"/>
      <c r="H173" s="42"/>
      <c r="I173" s="35"/>
      <c r="J173" s="35"/>
      <c r="K173" s="35"/>
      <c r="L173" s="35">
        <f t="shared" si="85"/>
        <v>0</v>
      </c>
      <c r="M173" s="24" t="e">
        <f t="shared" ref="M173:M176" si="86">J173/I173</f>
        <v>#DIV/0!</v>
      </c>
    </row>
    <row r="174" spans="2:14" x14ac:dyDescent="0.3">
      <c r="B174" s="28"/>
      <c r="C174" s="3"/>
      <c r="D174" s="3">
        <v>1016</v>
      </c>
      <c r="E174" s="3" t="s">
        <v>111</v>
      </c>
      <c r="F174" s="35"/>
      <c r="G174" s="35"/>
      <c r="H174" s="42"/>
      <c r="I174" s="35"/>
      <c r="J174" s="35"/>
      <c r="K174" s="35"/>
      <c r="L174" s="35">
        <f t="shared" si="85"/>
        <v>0</v>
      </c>
      <c r="M174" s="24" t="e">
        <f t="shared" si="86"/>
        <v>#DIV/0!</v>
      </c>
    </row>
    <row r="175" spans="2:14" x14ac:dyDescent="0.3">
      <c r="B175" s="28"/>
      <c r="C175" s="3"/>
      <c r="D175" s="3">
        <v>1017</v>
      </c>
      <c r="E175" s="3" t="s">
        <v>112</v>
      </c>
      <c r="F175" s="35"/>
      <c r="G175" s="35"/>
      <c r="H175" s="42"/>
      <c r="I175" s="35"/>
      <c r="J175" s="35"/>
      <c r="K175" s="35"/>
      <c r="L175" s="35">
        <f t="shared" si="85"/>
        <v>0</v>
      </c>
      <c r="M175" s="24" t="e">
        <f t="shared" si="86"/>
        <v>#DIV/0!</v>
      </c>
    </row>
    <row r="176" spans="2:14" x14ac:dyDescent="0.3">
      <c r="B176" s="28"/>
      <c r="C176" s="3"/>
      <c r="D176" s="3">
        <v>1018</v>
      </c>
      <c r="E176" s="3" t="s">
        <v>95</v>
      </c>
      <c r="F176" s="35"/>
      <c r="G176" s="35"/>
      <c r="H176" s="42"/>
      <c r="I176" s="35"/>
      <c r="J176" s="35"/>
      <c r="K176" s="35"/>
      <c r="L176" s="35">
        <f t="shared" si="85"/>
        <v>0</v>
      </c>
      <c r="M176" s="24" t="e">
        <f t="shared" si="86"/>
        <v>#DIV/0!</v>
      </c>
    </row>
    <row r="177" spans="2:13" x14ac:dyDescent="0.3">
      <c r="B177" s="28"/>
      <c r="C177" s="17">
        <v>106</v>
      </c>
      <c r="D177" s="17"/>
      <c r="E177" s="17" t="s">
        <v>102</v>
      </c>
      <c r="F177" s="35">
        <f>SUM(F178:F180)</f>
        <v>0</v>
      </c>
      <c r="G177" s="35">
        <f t="shared" ref="G177:L177" si="87">SUM(G178:G180)</f>
        <v>0</v>
      </c>
      <c r="H177" s="35">
        <f t="shared" si="87"/>
        <v>0</v>
      </c>
      <c r="I177" s="35">
        <f t="shared" si="87"/>
        <v>0</v>
      </c>
      <c r="J177" s="35">
        <f t="shared" si="87"/>
        <v>0</v>
      </c>
      <c r="K177" s="35">
        <f t="shared" si="87"/>
        <v>0</v>
      </c>
      <c r="L177" s="35">
        <f t="shared" si="87"/>
        <v>0</v>
      </c>
      <c r="M177" s="16"/>
    </row>
    <row r="178" spans="2:13" x14ac:dyDescent="0.3">
      <c r="B178" s="28"/>
      <c r="C178" s="3"/>
      <c r="D178" s="3">
        <v>1061</v>
      </c>
      <c r="E178" s="3" t="s">
        <v>113</v>
      </c>
      <c r="F178" s="35"/>
      <c r="G178" s="35"/>
      <c r="H178" s="42"/>
      <c r="I178" s="35"/>
      <c r="J178" s="35"/>
      <c r="K178" s="35"/>
      <c r="L178" s="35">
        <f t="shared" ref="L178:L180" si="88">J178-K178</f>
        <v>0</v>
      </c>
      <c r="M178" s="24" t="e">
        <f t="shared" ref="M178:M180" si="89">J178/I178</f>
        <v>#DIV/0!</v>
      </c>
    </row>
    <row r="179" spans="2:13" x14ac:dyDescent="0.3">
      <c r="B179" s="28"/>
      <c r="C179" s="3"/>
      <c r="D179" s="3">
        <v>1064</v>
      </c>
      <c r="E179" s="3" t="s">
        <v>23</v>
      </c>
      <c r="F179" s="35"/>
      <c r="G179" s="35"/>
      <c r="H179" s="42"/>
      <c r="I179" s="35"/>
      <c r="J179" s="35"/>
      <c r="K179" s="35"/>
      <c r="L179" s="35">
        <f t="shared" si="88"/>
        <v>0</v>
      </c>
      <c r="M179" s="24" t="e">
        <f t="shared" si="89"/>
        <v>#DIV/0!</v>
      </c>
    </row>
    <row r="180" spans="2:13" x14ac:dyDescent="0.3">
      <c r="B180" s="28"/>
      <c r="C180" s="3"/>
      <c r="D180" s="3">
        <v>1068</v>
      </c>
      <c r="E180" s="3" t="s">
        <v>114</v>
      </c>
      <c r="F180" s="35"/>
      <c r="G180" s="35"/>
      <c r="H180" s="42"/>
      <c r="I180" s="35"/>
      <c r="J180" s="35"/>
      <c r="K180" s="35"/>
      <c r="L180" s="35">
        <f t="shared" si="88"/>
        <v>0</v>
      </c>
      <c r="M180" s="24" t="e">
        <f t="shared" si="89"/>
        <v>#DIV/0!</v>
      </c>
    </row>
    <row r="181" spans="2:13" ht="30" customHeight="1" x14ac:dyDescent="0.3">
      <c r="B181" s="29"/>
      <c r="C181" s="2"/>
      <c r="D181" s="2"/>
      <c r="E181" s="2" t="s">
        <v>24</v>
      </c>
      <c r="F181" s="38">
        <f>F167</f>
        <v>0</v>
      </c>
      <c r="G181" s="38">
        <f t="shared" ref="G181:K181" si="90">G167</f>
        <v>0</v>
      </c>
      <c r="H181" s="38">
        <f t="shared" si="90"/>
        <v>0</v>
      </c>
      <c r="I181" s="38">
        <f t="shared" si="90"/>
        <v>0</v>
      </c>
      <c r="J181" s="38">
        <f t="shared" si="90"/>
        <v>0</v>
      </c>
      <c r="K181" s="38">
        <f t="shared" si="90"/>
        <v>0</v>
      </c>
      <c r="L181" s="38">
        <f>L167</f>
        <v>0</v>
      </c>
      <c r="M181" s="25" t="e">
        <f>J181/I181</f>
        <v>#DIV/0!</v>
      </c>
    </row>
    <row r="182" spans="2:13" ht="28.95" customHeight="1" x14ac:dyDescent="0.3">
      <c r="B182" s="30"/>
      <c r="C182" s="4"/>
      <c r="D182" s="4"/>
      <c r="E182" s="2" t="s">
        <v>103</v>
      </c>
      <c r="F182" s="38">
        <f>F166+F181</f>
        <v>0</v>
      </c>
      <c r="G182" s="38">
        <f t="shared" ref="G182:L182" si="91">G166+G181</f>
        <v>0</v>
      </c>
      <c r="H182" s="38">
        <f t="shared" si="91"/>
        <v>0</v>
      </c>
      <c r="I182" s="38">
        <f t="shared" si="91"/>
        <v>0</v>
      </c>
      <c r="J182" s="38">
        <f t="shared" si="91"/>
        <v>0</v>
      </c>
      <c r="K182" s="38">
        <f t="shared" si="91"/>
        <v>0</v>
      </c>
      <c r="L182" s="38">
        <f t="shared" si="91"/>
        <v>0</v>
      </c>
      <c r="M182" s="25" t="e">
        <f>J182/I182</f>
        <v>#DIV/0!</v>
      </c>
    </row>
  </sheetData>
  <mergeCells count="3">
    <mergeCell ref="B2:M2"/>
    <mergeCell ref="B107:M107"/>
    <mergeCell ref="B6:M6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DF565-6639-438D-BF48-E1D6CC779EFF}">
  <sheetPr>
    <tabColor theme="9" tint="-0.249977111117893"/>
  </sheetPr>
  <dimension ref="B2:J28"/>
  <sheetViews>
    <sheetView zoomScale="70" zoomScaleNormal="70" workbookViewId="0">
      <selection activeCell="K7" sqref="K7"/>
    </sheetView>
  </sheetViews>
  <sheetFormatPr baseColWidth="10" defaultColWidth="8.88671875" defaultRowHeight="14.4" x14ac:dyDescent="0.3"/>
  <cols>
    <col min="1" max="1" width="8.88671875" style="8"/>
    <col min="2" max="2" width="8.5546875" style="11" bestFit="1" customWidth="1"/>
    <col min="3" max="3" width="4.44140625" style="8" bestFit="1" customWidth="1"/>
    <col min="4" max="4" width="5.5546875" style="8" bestFit="1" customWidth="1"/>
    <col min="5" max="5" width="61.5546875" style="8" bestFit="1" customWidth="1"/>
    <col min="6" max="6" width="17.21875" style="31" customWidth="1"/>
    <col min="7" max="7" width="14.77734375" style="31" customWidth="1"/>
    <col min="8" max="8" width="18.44140625" style="31" customWidth="1"/>
    <col min="9" max="9" width="17.33203125" style="31" customWidth="1"/>
    <col min="10" max="16384" width="8.88671875" style="8"/>
  </cols>
  <sheetData>
    <row r="2" spans="2:10" ht="28.95" customHeight="1" x14ac:dyDescent="0.3">
      <c r="B2" s="70" t="s">
        <v>414</v>
      </c>
      <c r="C2" s="70"/>
      <c r="D2" s="70"/>
      <c r="E2" s="70"/>
      <c r="F2" s="70"/>
      <c r="G2" s="70"/>
      <c r="H2" s="70"/>
      <c r="I2" s="70"/>
    </row>
    <row r="3" spans="2:10" x14ac:dyDescent="0.3">
      <c r="F3" s="39"/>
    </row>
    <row r="4" spans="2:10" x14ac:dyDescent="0.3">
      <c r="C4" s="10"/>
      <c r="D4" s="10"/>
      <c r="E4" s="10" t="s">
        <v>147</v>
      </c>
    </row>
    <row r="5" spans="2:10" x14ac:dyDescent="0.3">
      <c r="B5" s="9"/>
      <c r="C5" s="10"/>
      <c r="D5" s="10"/>
      <c r="E5" s="10"/>
      <c r="F5" s="32"/>
      <c r="G5" s="32"/>
      <c r="H5" s="32"/>
      <c r="I5" s="32"/>
    </row>
    <row r="6" spans="2:10" ht="26.4" customHeight="1" x14ac:dyDescent="0.3">
      <c r="B6" s="71" t="s">
        <v>151</v>
      </c>
      <c r="C6" s="71"/>
      <c r="D6" s="71"/>
      <c r="E6" s="71"/>
      <c r="F6" s="71"/>
      <c r="G6" s="71"/>
      <c r="H6" s="71"/>
      <c r="I6" s="71"/>
    </row>
    <row r="7" spans="2:10" s="12" customFormat="1" ht="58.2" customHeight="1" x14ac:dyDescent="0.3">
      <c r="B7" s="26" t="s">
        <v>138</v>
      </c>
      <c r="C7" s="7"/>
      <c r="D7" s="7"/>
      <c r="E7" s="13" t="s">
        <v>150</v>
      </c>
      <c r="F7" s="33" t="s">
        <v>415</v>
      </c>
      <c r="G7" s="33" t="s">
        <v>416</v>
      </c>
      <c r="H7" s="33" t="s">
        <v>144</v>
      </c>
      <c r="I7" s="33" t="s">
        <v>145</v>
      </c>
    </row>
    <row r="8" spans="2:10" ht="28.95" customHeight="1" x14ac:dyDescent="0.3">
      <c r="B8" s="27">
        <v>70</v>
      </c>
      <c r="C8" s="1"/>
      <c r="D8" s="1"/>
      <c r="E8" s="1" t="s">
        <v>72</v>
      </c>
      <c r="F8" s="34">
        <f>RECETTES!I8</f>
        <v>0</v>
      </c>
      <c r="G8" s="34">
        <f>RECETTES!J8</f>
        <v>0</v>
      </c>
      <c r="H8" s="34">
        <f>RECETTES!K8</f>
        <v>0</v>
      </c>
      <c r="I8" s="34">
        <f>RECETTES!L8</f>
        <v>0</v>
      </c>
    </row>
    <row r="9" spans="2:10" ht="29.4" customHeight="1" x14ac:dyDescent="0.3">
      <c r="B9" s="27">
        <v>71</v>
      </c>
      <c r="C9" s="1"/>
      <c r="D9" s="1"/>
      <c r="E9" s="1" t="s">
        <v>71</v>
      </c>
      <c r="F9" s="34">
        <f>RECETTES!I11</f>
        <v>0</v>
      </c>
      <c r="G9" s="34">
        <f>RECETTES!J11</f>
        <v>0</v>
      </c>
      <c r="H9" s="34">
        <f>RECETTES!K11</f>
        <v>0</v>
      </c>
      <c r="I9" s="34">
        <f>RECETTES!L11</f>
        <v>0</v>
      </c>
    </row>
    <row r="10" spans="2:10" ht="28.2" customHeight="1" x14ac:dyDescent="0.3">
      <c r="B10" s="27">
        <v>72</v>
      </c>
      <c r="C10" s="1"/>
      <c r="D10" s="1"/>
      <c r="E10" s="1" t="s">
        <v>60</v>
      </c>
      <c r="F10" s="34">
        <f>RECETTES!I21</f>
        <v>0</v>
      </c>
      <c r="G10" s="34">
        <f>RECETTES!J21</f>
        <v>0</v>
      </c>
      <c r="H10" s="34">
        <f>RECETTES!K21</f>
        <v>0</v>
      </c>
      <c r="I10" s="34">
        <f>RECETTES!L21</f>
        <v>0</v>
      </c>
    </row>
    <row r="11" spans="2:10" ht="28.95" customHeight="1" x14ac:dyDescent="0.3">
      <c r="B11" s="27">
        <v>74</v>
      </c>
      <c r="C11" s="1"/>
      <c r="D11" s="1"/>
      <c r="E11" s="17" t="s">
        <v>59</v>
      </c>
      <c r="F11" s="34">
        <f>RECETTES!I41</f>
        <v>0</v>
      </c>
      <c r="G11" s="34">
        <f>RECETTES!J41</f>
        <v>0</v>
      </c>
      <c r="H11" s="34">
        <f>RECETTES!K41</f>
        <v>0</v>
      </c>
      <c r="I11" s="34">
        <f>RECETTES!L41</f>
        <v>0</v>
      </c>
    </row>
    <row r="12" spans="2:10" ht="28.2" customHeight="1" x14ac:dyDescent="0.3">
      <c r="B12" s="27">
        <v>75</v>
      </c>
      <c r="C12" s="1"/>
      <c r="D12" s="1"/>
      <c r="E12" s="1" t="s">
        <v>50</v>
      </c>
      <c r="F12" s="34">
        <f>RECETTES!I48</f>
        <v>0</v>
      </c>
      <c r="G12" s="34">
        <f>RECETTES!J48</f>
        <v>0</v>
      </c>
      <c r="H12" s="34">
        <f>RECETTES!K48</f>
        <v>0</v>
      </c>
      <c r="I12" s="34">
        <f>RECETTES!L48</f>
        <v>0</v>
      </c>
    </row>
    <row r="13" spans="2:10" ht="29.4" customHeight="1" x14ac:dyDescent="0.3">
      <c r="B13" s="27">
        <v>76</v>
      </c>
      <c r="C13" s="21"/>
      <c r="D13" s="21"/>
      <c r="E13" s="1" t="s">
        <v>58</v>
      </c>
      <c r="F13" s="34">
        <f>RECETTES!I61</f>
        <v>0</v>
      </c>
      <c r="G13" s="34">
        <f>RECETTES!J61</f>
        <v>0</v>
      </c>
      <c r="H13" s="34">
        <f>RECETTES!K61</f>
        <v>0</v>
      </c>
      <c r="I13" s="34">
        <f>RECETTES!L61</f>
        <v>0</v>
      </c>
    </row>
    <row r="14" spans="2:10" ht="28.95" customHeight="1" x14ac:dyDescent="0.3">
      <c r="B14" s="27">
        <v>77</v>
      </c>
      <c r="C14" s="1"/>
      <c r="D14" s="1"/>
      <c r="E14" s="1" t="s">
        <v>70</v>
      </c>
      <c r="F14" s="34">
        <f>RECETTES!I74</f>
        <v>0</v>
      </c>
      <c r="G14" s="34">
        <f>RECETTES!J74</f>
        <v>0</v>
      </c>
      <c r="H14" s="34">
        <f>RECETTES!K74</f>
        <v>0</v>
      </c>
      <c r="I14" s="34">
        <f>RECETTES!L74</f>
        <v>0</v>
      </c>
    </row>
    <row r="15" spans="2:10" ht="29.4" customHeight="1" x14ac:dyDescent="0.3">
      <c r="B15" s="29"/>
      <c r="C15" s="2"/>
      <c r="D15" s="2"/>
      <c r="E15" s="2" t="s">
        <v>18</v>
      </c>
      <c r="F15" s="55">
        <f>F8+F9+F10+F11+F12+F13+F14</f>
        <v>0</v>
      </c>
      <c r="G15" s="55">
        <f>G8+G9+G10+G11+G12+G13+G14</f>
        <v>0</v>
      </c>
      <c r="H15" s="55">
        <f>H8+H9+H10+H11+H12+H13+H14</f>
        <v>0</v>
      </c>
      <c r="I15" s="55">
        <f>I8+I9+I10+I11+I12+I13+I14</f>
        <v>0</v>
      </c>
      <c r="J15" s="56"/>
    </row>
    <row r="16" spans="2:10" s="10" customFormat="1" ht="28.95" customHeight="1" x14ac:dyDescent="0.3">
      <c r="B16" s="29"/>
      <c r="C16" s="2"/>
      <c r="D16" s="2"/>
      <c r="E16" s="2" t="s">
        <v>77</v>
      </c>
      <c r="F16" s="55">
        <f>RECETTES!I104</f>
        <v>0</v>
      </c>
      <c r="G16" s="55">
        <f>RECETTES!J104</f>
        <v>0</v>
      </c>
      <c r="H16" s="55">
        <f>RECETTES!K104</f>
        <v>0</v>
      </c>
      <c r="I16" s="55">
        <f>RECETTES!L104</f>
        <v>0</v>
      </c>
    </row>
    <row r="17" spans="2:10" ht="29.4" customHeight="1" x14ac:dyDescent="0.3">
      <c r="B17" s="29"/>
      <c r="C17" s="2"/>
      <c r="D17" s="2"/>
      <c r="E17" s="2" t="s">
        <v>98</v>
      </c>
      <c r="F17" s="55">
        <f>F15+F16</f>
        <v>0</v>
      </c>
      <c r="G17" s="55">
        <f t="shared" ref="G17:I17" si="0">G15+G16</f>
        <v>0</v>
      </c>
      <c r="H17" s="55">
        <f t="shared" si="0"/>
        <v>0</v>
      </c>
      <c r="I17" s="55">
        <f t="shared" si="0"/>
        <v>0</v>
      </c>
    </row>
    <row r="18" spans="2:10" x14ac:dyDescent="0.3">
      <c r="B18" s="9"/>
      <c r="C18" s="10"/>
      <c r="D18" s="10"/>
      <c r="E18" s="10"/>
      <c r="F18" s="32"/>
      <c r="G18" s="32"/>
      <c r="H18" s="32"/>
      <c r="I18" s="32"/>
    </row>
    <row r="19" spans="2:10" ht="25.95" customHeight="1" x14ac:dyDescent="0.3">
      <c r="B19" s="71" t="s">
        <v>149</v>
      </c>
      <c r="C19" s="71"/>
      <c r="D19" s="71"/>
      <c r="E19" s="71"/>
      <c r="F19" s="71"/>
      <c r="G19" s="71"/>
      <c r="H19" s="71"/>
      <c r="I19" s="71"/>
    </row>
    <row r="20" spans="2:10" ht="44.4" customHeight="1" x14ac:dyDescent="0.3">
      <c r="B20" s="26" t="s">
        <v>138</v>
      </c>
      <c r="C20" s="5"/>
      <c r="D20" s="6"/>
      <c r="E20" s="23" t="s">
        <v>148</v>
      </c>
      <c r="F20" s="33" t="s">
        <v>415</v>
      </c>
      <c r="G20" s="33" t="s">
        <v>416</v>
      </c>
      <c r="H20" s="33" t="s">
        <v>144</v>
      </c>
      <c r="I20" s="33" t="s">
        <v>145</v>
      </c>
    </row>
    <row r="21" spans="2:10" ht="29.4" customHeight="1" x14ac:dyDescent="0.3">
      <c r="B21" s="27">
        <v>10</v>
      </c>
      <c r="C21" s="1"/>
      <c r="D21" s="1"/>
      <c r="E21" s="1" t="s">
        <v>106</v>
      </c>
      <c r="F21" s="34">
        <f>RECETTES!I109</f>
        <v>0</v>
      </c>
      <c r="G21" s="34">
        <f>RECETTES!J109</f>
        <v>0</v>
      </c>
      <c r="H21" s="34">
        <f>RECETTES!K109</f>
        <v>0</v>
      </c>
      <c r="I21" s="34">
        <f>RECETTES!L109</f>
        <v>0</v>
      </c>
    </row>
    <row r="22" spans="2:10" ht="28.95" customHeight="1" x14ac:dyDescent="0.3">
      <c r="B22" s="27">
        <v>13</v>
      </c>
      <c r="C22" s="1"/>
      <c r="D22" s="1"/>
      <c r="E22" s="1" t="s">
        <v>99</v>
      </c>
      <c r="F22" s="34">
        <f>RECETTES!I123</f>
        <v>0</v>
      </c>
      <c r="G22" s="34">
        <f>RECETTES!J123</f>
        <v>0</v>
      </c>
      <c r="H22" s="34">
        <f>RECETTES!K123</f>
        <v>0</v>
      </c>
      <c r="I22" s="34">
        <f>RECETTES!L123</f>
        <v>0</v>
      </c>
    </row>
    <row r="23" spans="2:10" ht="28.95" customHeight="1" x14ac:dyDescent="0.3">
      <c r="B23" s="27">
        <v>14</v>
      </c>
      <c r="C23" s="1"/>
      <c r="D23" s="1"/>
      <c r="E23" s="1" t="s">
        <v>104</v>
      </c>
      <c r="F23" s="34">
        <f>RECETTES!I133</f>
        <v>0</v>
      </c>
      <c r="G23" s="34">
        <f>RECETTES!J133</f>
        <v>0</v>
      </c>
      <c r="H23" s="34">
        <f>RECETTES!K133</f>
        <v>0</v>
      </c>
      <c r="I23" s="34">
        <f>RECETTES!L133</f>
        <v>0</v>
      </c>
    </row>
    <row r="24" spans="2:10" s="10" customFormat="1" ht="30" customHeight="1" x14ac:dyDescent="0.3">
      <c r="B24" s="27">
        <v>16</v>
      </c>
      <c r="C24" s="17"/>
      <c r="D24" s="17"/>
      <c r="E24" s="17" t="s">
        <v>166</v>
      </c>
      <c r="F24" s="43">
        <f>RECETTES!I152</f>
        <v>0</v>
      </c>
      <c r="G24" s="43">
        <f>RECETTES!J152</f>
        <v>0</v>
      </c>
      <c r="H24" s="43">
        <f>RECETTES!K152</f>
        <v>0</v>
      </c>
      <c r="I24" s="43">
        <f>RECETTES!L152</f>
        <v>0</v>
      </c>
      <c r="J24" s="32"/>
    </row>
    <row r="25" spans="2:10" ht="29.4" customHeight="1" x14ac:dyDescent="0.3">
      <c r="B25" s="29"/>
      <c r="C25" s="2"/>
      <c r="D25" s="2"/>
      <c r="E25" s="2" t="s">
        <v>21</v>
      </c>
      <c r="F25" s="38">
        <f>F21+F22+F23+F24</f>
        <v>0</v>
      </c>
      <c r="G25" s="38">
        <f t="shared" ref="G25:I25" si="1">G21+G22+G23+G24</f>
        <v>0</v>
      </c>
      <c r="H25" s="38">
        <f t="shared" si="1"/>
        <v>0</v>
      </c>
      <c r="I25" s="38">
        <f t="shared" si="1"/>
        <v>0</v>
      </c>
    </row>
    <row r="26" spans="2:10" ht="29.4" customHeight="1" x14ac:dyDescent="0.3">
      <c r="B26" s="27">
        <v>10</v>
      </c>
      <c r="C26" s="1"/>
      <c r="D26" s="1"/>
      <c r="E26" s="1" t="s">
        <v>106</v>
      </c>
      <c r="F26" s="34">
        <f>RECETTES!I167</f>
        <v>0</v>
      </c>
      <c r="G26" s="34">
        <f>RECETTES!J167</f>
        <v>0</v>
      </c>
      <c r="H26" s="34">
        <f>RECETTES!K167</f>
        <v>0</v>
      </c>
      <c r="I26" s="34">
        <f>RECETTES!L167</f>
        <v>0</v>
      </c>
    </row>
    <row r="27" spans="2:10" ht="30" customHeight="1" x14ac:dyDescent="0.3">
      <c r="B27" s="29"/>
      <c r="C27" s="2"/>
      <c r="D27" s="2"/>
      <c r="E27" s="2" t="s">
        <v>24</v>
      </c>
      <c r="F27" s="38">
        <f>F26</f>
        <v>0</v>
      </c>
      <c r="G27" s="38">
        <f t="shared" ref="G27:I27" si="2">G26</f>
        <v>0</v>
      </c>
      <c r="H27" s="38">
        <f t="shared" si="2"/>
        <v>0</v>
      </c>
      <c r="I27" s="38">
        <f t="shared" si="2"/>
        <v>0</v>
      </c>
    </row>
    <row r="28" spans="2:10" ht="28.95" customHeight="1" x14ac:dyDescent="0.3">
      <c r="B28" s="30"/>
      <c r="C28" s="4"/>
      <c r="D28" s="4"/>
      <c r="E28" s="2" t="s">
        <v>103</v>
      </c>
      <c r="F28" s="38">
        <f>F25+F27</f>
        <v>0</v>
      </c>
      <c r="G28" s="38">
        <f t="shared" ref="G28:I28" si="3">G25+G27</f>
        <v>0</v>
      </c>
      <c r="H28" s="38">
        <f t="shared" si="3"/>
        <v>0</v>
      </c>
      <c r="I28" s="38">
        <f t="shared" si="3"/>
        <v>0</v>
      </c>
    </row>
  </sheetData>
  <mergeCells count="3">
    <mergeCell ref="B2:I2"/>
    <mergeCell ref="B6:I6"/>
    <mergeCell ref="B19:I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977B-3A9A-48B6-962A-0A66A6DC8ADD}">
  <sheetPr>
    <tabColor theme="5" tint="0.59999389629810485"/>
  </sheetPr>
  <dimension ref="B2:N289"/>
  <sheetViews>
    <sheetView zoomScale="70" zoomScaleNormal="70" workbookViewId="0">
      <selection activeCell="E193" sqref="E193"/>
    </sheetView>
  </sheetViews>
  <sheetFormatPr baseColWidth="10" defaultColWidth="11.5546875" defaultRowHeight="14.4" x14ac:dyDescent="0.3"/>
  <cols>
    <col min="1" max="1" width="11.5546875" style="8"/>
    <col min="2" max="2" width="8.5546875" style="9" bestFit="1" customWidth="1"/>
    <col min="3" max="3" width="4.44140625" style="10" bestFit="1" customWidth="1"/>
    <col min="4" max="4" width="5.5546875" style="8" bestFit="1" customWidth="1"/>
    <col min="5" max="5" width="61.5546875" style="8" bestFit="1" customWidth="1"/>
    <col min="6" max="6" width="17" style="51" customWidth="1"/>
    <col min="7" max="7" width="22.33203125" style="51" customWidth="1"/>
    <col min="8" max="8" width="16.44140625" style="51" customWidth="1"/>
    <col min="9" max="10" width="17.21875" style="51" customWidth="1"/>
    <col min="11" max="11" width="14.77734375" style="51" customWidth="1"/>
    <col min="12" max="12" width="18.44140625" style="51" customWidth="1"/>
    <col min="13" max="13" width="17.33203125" style="51" customWidth="1"/>
    <col min="14" max="14" width="21.33203125" style="51" customWidth="1"/>
    <col min="15" max="16384" width="11.5546875" style="8"/>
  </cols>
  <sheetData>
    <row r="2" spans="2:14" ht="18" x14ac:dyDescent="0.3">
      <c r="B2" s="70" t="s">
        <v>152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2:14" x14ac:dyDescent="0.3">
      <c r="F3" s="31"/>
      <c r="G3" s="39"/>
      <c r="H3" s="39"/>
      <c r="I3" s="39"/>
      <c r="J3" s="39"/>
      <c r="K3" s="31"/>
      <c r="L3" s="31"/>
      <c r="M3" s="31"/>
    </row>
    <row r="4" spans="2:14" x14ac:dyDescent="0.3">
      <c r="E4" s="10" t="s">
        <v>147</v>
      </c>
      <c r="F4" s="31"/>
      <c r="G4" s="31"/>
      <c r="H4" s="40"/>
      <c r="I4" s="31"/>
      <c r="J4" s="31"/>
      <c r="K4" s="31"/>
      <c r="L4" s="31"/>
      <c r="M4" s="31"/>
    </row>
    <row r="5" spans="2:14" x14ac:dyDescent="0.3">
      <c r="E5" s="10"/>
      <c r="F5" s="32"/>
      <c r="G5" s="32"/>
      <c r="H5" s="39"/>
      <c r="I5" s="32"/>
      <c r="J5" s="32"/>
      <c r="K5" s="32"/>
      <c r="L5" s="32"/>
      <c r="M5" s="32"/>
      <c r="N5" s="52"/>
    </row>
    <row r="6" spans="2:14" ht="28.95" customHeight="1" x14ac:dyDescent="0.3">
      <c r="E6" s="50" t="s">
        <v>417</v>
      </c>
      <c r="F6" s="32"/>
      <c r="G6" s="32"/>
      <c r="H6" s="39"/>
      <c r="I6" s="32"/>
      <c r="J6" s="32"/>
      <c r="K6" s="32"/>
      <c r="L6" s="32"/>
      <c r="M6" s="32"/>
      <c r="N6" s="52"/>
    </row>
    <row r="7" spans="2:14" x14ac:dyDescent="0.3">
      <c r="F7" s="32"/>
      <c r="G7" s="32"/>
      <c r="H7" s="39"/>
      <c r="I7" s="32"/>
      <c r="J7" s="32"/>
      <c r="K7" s="32"/>
      <c r="L7" s="32"/>
      <c r="M7" s="32"/>
      <c r="N7" s="52"/>
    </row>
    <row r="8" spans="2:14" ht="28.95" customHeight="1" x14ac:dyDescent="0.3">
      <c r="B8" s="71" t="s">
        <v>164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</row>
    <row r="9" spans="2:14" s="11" customFormat="1" ht="28.8" x14ac:dyDescent="0.3">
      <c r="B9" s="26" t="s">
        <v>138</v>
      </c>
      <c r="C9" s="44"/>
      <c r="D9" s="48"/>
      <c r="E9" s="45" t="s">
        <v>150</v>
      </c>
      <c r="F9" s="41" t="s">
        <v>139</v>
      </c>
      <c r="G9" s="41" t="s">
        <v>140</v>
      </c>
      <c r="H9" s="41" t="s">
        <v>141</v>
      </c>
      <c r="I9" s="41" t="s">
        <v>142</v>
      </c>
      <c r="J9" s="41" t="s">
        <v>171</v>
      </c>
      <c r="K9" s="41" t="s">
        <v>172</v>
      </c>
      <c r="L9" s="41" t="s">
        <v>173</v>
      </c>
      <c r="M9" s="41" t="s">
        <v>174</v>
      </c>
      <c r="N9" s="41" t="s">
        <v>396</v>
      </c>
    </row>
    <row r="10" spans="2:14" s="10" customFormat="1" ht="30" customHeight="1" x14ac:dyDescent="0.3">
      <c r="B10" s="27">
        <v>60</v>
      </c>
      <c r="C10" s="17"/>
      <c r="D10" s="17"/>
      <c r="E10" s="17" t="s">
        <v>153</v>
      </c>
      <c r="F10" s="43">
        <f>SUM(F11,F14,F17,F20,F23)</f>
        <v>0</v>
      </c>
      <c r="G10" s="43">
        <f t="shared" ref="G10:M10" si="0">SUM(G11,G14,G17,G20,G23)</f>
        <v>0</v>
      </c>
      <c r="H10" s="43">
        <f t="shared" si="0"/>
        <v>0</v>
      </c>
      <c r="I10" s="43">
        <f t="shared" si="0"/>
        <v>0</v>
      </c>
      <c r="J10" s="43">
        <f t="shared" si="0"/>
        <v>0</v>
      </c>
      <c r="K10" s="43">
        <f t="shared" si="0"/>
        <v>0</v>
      </c>
      <c r="L10" s="43">
        <f t="shared" si="0"/>
        <v>0</v>
      </c>
      <c r="M10" s="43">
        <f t="shared" si="0"/>
        <v>0</v>
      </c>
      <c r="N10" s="43" t="e">
        <f>K10/I10</f>
        <v>#DIV/0!</v>
      </c>
    </row>
    <row r="11" spans="2:14" s="10" customFormat="1" x14ac:dyDescent="0.3">
      <c r="B11" s="27"/>
      <c r="C11" s="17">
        <v>601</v>
      </c>
      <c r="D11" s="3"/>
      <c r="E11" s="17" t="s">
        <v>175</v>
      </c>
      <c r="F11" s="43">
        <f>SUM(F12:F13)</f>
        <v>0</v>
      </c>
      <c r="G11" s="43">
        <f t="shared" ref="G11:L11" si="1">SUM(G12:G13)</f>
        <v>0</v>
      </c>
      <c r="H11" s="43">
        <f t="shared" si="1"/>
        <v>0</v>
      </c>
      <c r="I11" s="43">
        <f t="shared" si="1"/>
        <v>0</v>
      </c>
      <c r="J11" s="43">
        <f t="shared" si="1"/>
        <v>0</v>
      </c>
      <c r="K11" s="43">
        <f t="shared" si="1"/>
        <v>0</v>
      </c>
      <c r="L11" s="43">
        <f t="shared" si="1"/>
        <v>0</v>
      </c>
      <c r="M11" s="35">
        <f t="shared" ref="M11:M25" si="2">K11-L11</f>
        <v>0</v>
      </c>
      <c r="N11" s="43"/>
    </row>
    <row r="12" spans="2:14" x14ac:dyDescent="0.3">
      <c r="B12" s="27"/>
      <c r="C12" s="17"/>
      <c r="D12" s="3">
        <v>6011</v>
      </c>
      <c r="E12" s="3" t="s">
        <v>176</v>
      </c>
      <c r="F12" s="35"/>
      <c r="G12" s="35"/>
      <c r="H12" s="35"/>
      <c r="I12" s="35"/>
      <c r="J12" s="35"/>
      <c r="K12" s="35"/>
      <c r="L12" s="35"/>
      <c r="M12" s="35">
        <f t="shared" si="2"/>
        <v>0</v>
      </c>
      <c r="N12" s="35" t="e">
        <f>K12/I12</f>
        <v>#DIV/0!</v>
      </c>
    </row>
    <row r="13" spans="2:14" x14ac:dyDescent="0.3">
      <c r="B13" s="27"/>
      <c r="C13" s="17"/>
      <c r="D13" s="3">
        <v>6012</v>
      </c>
      <c r="E13" s="3" t="s">
        <v>177</v>
      </c>
      <c r="F13" s="35"/>
      <c r="G13" s="35"/>
      <c r="H13" s="35"/>
      <c r="I13" s="35"/>
      <c r="J13" s="35"/>
      <c r="K13" s="35"/>
      <c r="L13" s="35"/>
      <c r="M13" s="35">
        <f t="shared" si="2"/>
        <v>0</v>
      </c>
      <c r="N13" s="35" t="e">
        <f>K13/I13</f>
        <v>#DIV/0!</v>
      </c>
    </row>
    <row r="14" spans="2:14" s="10" customFormat="1" x14ac:dyDescent="0.3">
      <c r="B14" s="27"/>
      <c r="C14" s="17">
        <v>602</v>
      </c>
      <c r="D14" s="3"/>
      <c r="E14" s="17" t="s">
        <v>178</v>
      </c>
      <c r="F14" s="43">
        <f>SUM(F15:F16)</f>
        <v>0</v>
      </c>
      <c r="G14" s="43">
        <f t="shared" ref="G14:L14" si="3">SUM(G15:G16)</f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43">
        <f t="shared" si="3"/>
        <v>0</v>
      </c>
      <c r="L14" s="43">
        <f t="shared" si="3"/>
        <v>0</v>
      </c>
      <c r="M14" s="35">
        <f t="shared" si="2"/>
        <v>0</v>
      </c>
      <c r="N14" s="43"/>
    </row>
    <row r="15" spans="2:14" x14ac:dyDescent="0.3">
      <c r="B15" s="27"/>
      <c r="C15" s="17"/>
      <c r="D15" s="3">
        <v>6021</v>
      </c>
      <c r="E15" s="3" t="s">
        <v>176</v>
      </c>
      <c r="F15" s="35"/>
      <c r="G15" s="35"/>
      <c r="H15" s="35"/>
      <c r="I15" s="35"/>
      <c r="J15" s="35"/>
      <c r="K15" s="35"/>
      <c r="L15" s="35"/>
      <c r="M15" s="35">
        <f t="shared" si="2"/>
        <v>0</v>
      </c>
      <c r="N15" s="35" t="e">
        <f t="shared" ref="N15:N16" si="4">K15/I15</f>
        <v>#DIV/0!</v>
      </c>
    </row>
    <row r="16" spans="2:14" x14ac:dyDescent="0.3">
      <c r="B16" s="27"/>
      <c r="C16" s="17"/>
      <c r="D16" s="3">
        <v>6022</v>
      </c>
      <c r="E16" s="3" t="s">
        <v>177</v>
      </c>
      <c r="F16" s="35"/>
      <c r="G16" s="35"/>
      <c r="H16" s="35"/>
      <c r="I16" s="35"/>
      <c r="J16" s="35"/>
      <c r="K16" s="35"/>
      <c r="L16" s="35"/>
      <c r="M16" s="35">
        <f t="shared" si="2"/>
        <v>0</v>
      </c>
      <c r="N16" s="35" t="e">
        <f t="shared" si="4"/>
        <v>#DIV/0!</v>
      </c>
    </row>
    <row r="17" spans="2:14" s="10" customFormat="1" x14ac:dyDescent="0.3">
      <c r="B17" s="27"/>
      <c r="C17" s="17">
        <v>603</v>
      </c>
      <c r="D17" s="3"/>
      <c r="E17" s="17" t="s">
        <v>179</v>
      </c>
      <c r="F17" s="43">
        <f>SUM(F18:F19)</f>
        <v>0</v>
      </c>
      <c r="G17" s="43">
        <f t="shared" ref="G17:L17" si="5">SUM(G18:G19)</f>
        <v>0</v>
      </c>
      <c r="H17" s="43">
        <f t="shared" si="5"/>
        <v>0</v>
      </c>
      <c r="I17" s="43">
        <f t="shared" si="5"/>
        <v>0</v>
      </c>
      <c r="J17" s="43">
        <f t="shared" si="5"/>
        <v>0</v>
      </c>
      <c r="K17" s="43">
        <f t="shared" si="5"/>
        <v>0</v>
      </c>
      <c r="L17" s="43">
        <f t="shared" si="5"/>
        <v>0</v>
      </c>
      <c r="M17" s="35">
        <f t="shared" si="2"/>
        <v>0</v>
      </c>
      <c r="N17" s="43"/>
    </row>
    <row r="18" spans="2:14" x14ac:dyDescent="0.3">
      <c r="B18" s="27"/>
      <c r="C18" s="17"/>
      <c r="D18" s="3">
        <v>6031</v>
      </c>
      <c r="E18" s="3" t="s">
        <v>176</v>
      </c>
      <c r="F18" s="35"/>
      <c r="G18" s="35"/>
      <c r="H18" s="35"/>
      <c r="I18" s="35"/>
      <c r="J18" s="35"/>
      <c r="K18" s="35"/>
      <c r="L18" s="35"/>
      <c r="M18" s="35">
        <f t="shared" si="2"/>
        <v>0</v>
      </c>
      <c r="N18" s="35" t="e">
        <f t="shared" ref="N18:N19" si="6">K18/I18</f>
        <v>#DIV/0!</v>
      </c>
    </row>
    <row r="19" spans="2:14" x14ac:dyDescent="0.3">
      <c r="B19" s="27"/>
      <c r="C19" s="17"/>
      <c r="D19" s="3">
        <v>6032</v>
      </c>
      <c r="E19" s="3" t="s">
        <v>177</v>
      </c>
      <c r="F19" s="35"/>
      <c r="G19" s="35"/>
      <c r="H19" s="35"/>
      <c r="I19" s="35"/>
      <c r="J19" s="35"/>
      <c r="K19" s="35"/>
      <c r="L19" s="35"/>
      <c r="M19" s="35">
        <f t="shared" si="2"/>
        <v>0</v>
      </c>
      <c r="N19" s="35" t="e">
        <f t="shared" si="6"/>
        <v>#DIV/0!</v>
      </c>
    </row>
    <row r="20" spans="2:14" s="10" customFormat="1" x14ac:dyDescent="0.3">
      <c r="B20" s="27"/>
      <c r="C20" s="17">
        <v>604</v>
      </c>
      <c r="D20" s="3"/>
      <c r="E20" s="17" t="s">
        <v>180</v>
      </c>
      <c r="F20" s="43">
        <f>SUM(F21:F22)</f>
        <v>0</v>
      </c>
      <c r="G20" s="43">
        <f t="shared" ref="G20:L20" si="7">SUM(G21:G22)</f>
        <v>0</v>
      </c>
      <c r="H20" s="43">
        <f t="shared" si="7"/>
        <v>0</v>
      </c>
      <c r="I20" s="43">
        <f t="shared" si="7"/>
        <v>0</v>
      </c>
      <c r="J20" s="43">
        <f t="shared" si="7"/>
        <v>0</v>
      </c>
      <c r="K20" s="43">
        <f t="shared" si="7"/>
        <v>0</v>
      </c>
      <c r="L20" s="43">
        <f t="shared" si="7"/>
        <v>0</v>
      </c>
      <c r="M20" s="35">
        <f t="shared" si="2"/>
        <v>0</v>
      </c>
      <c r="N20" s="43"/>
    </row>
    <row r="21" spans="2:14" x14ac:dyDescent="0.3">
      <c r="B21" s="27"/>
      <c r="C21" s="17"/>
      <c r="D21" s="3">
        <v>6041</v>
      </c>
      <c r="E21" s="3" t="s">
        <v>176</v>
      </c>
      <c r="F21" s="35"/>
      <c r="G21" s="35"/>
      <c r="H21" s="35"/>
      <c r="I21" s="35"/>
      <c r="J21" s="35"/>
      <c r="K21" s="35"/>
      <c r="L21" s="35"/>
      <c r="M21" s="35">
        <f t="shared" si="2"/>
        <v>0</v>
      </c>
      <c r="N21" s="35" t="e">
        <f t="shared" ref="N21:N22" si="8">K21/I21</f>
        <v>#DIV/0!</v>
      </c>
    </row>
    <row r="22" spans="2:14" x14ac:dyDescent="0.3">
      <c r="B22" s="27"/>
      <c r="C22" s="17"/>
      <c r="D22" s="3">
        <v>6042</v>
      </c>
      <c r="E22" s="3" t="s">
        <v>177</v>
      </c>
      <c r="F22" s="35"/>
      <c r="G22" s="35"/>
      <c r="H22" s="35"/>
      <c r="I22" s="35"/>
      <c r="J22" s="35"/>
      <c r="K22" s="35"/>
      <c r="L22" s="35"/>
      <c r="M22" s="35">
        <f t="shared" si="2"/>
        <v>0</v>
      </c>
      <c r="N22" s="35" t="e">
        <f t="shared" si="8"/>
        <v>#DIV/0!</v>
      </c>
    </row>
    <row r="23" spans="2:14" s="10" customFormat="1" x14ac:dyDescent="0.3">
      <c r="B23" s="27"/>
      <c r="C23" s="17">
        <v>606</v>
      </c>
      <c r="D23" s="3"/>
      <c r="E23" s="17" t="s">
        <v>181</v>
      </c>
      <c r="F23" s="43">
        <f>SUM(F24:F28)</f>
        <v>0</v>
      </c>
      <c r="G23" s="43">
        <f t="shared" ref="G23:L23" si="9">SUM(G24:G28)</f>
        <v>0</v>
      </c>
      <c r="H23" s="43">
        <f t="shared" si="9"/>
        <v>0</v>
      </c>
      <c r="I23" s="43">
        <f t="shared" si="9"/>
        <v>0</v>
      </c>
      <c r="J23" s="43">
        <f t="shared" si="9"/>
        <v>0</v>
      </c>
      <c r="K23" s="43">
        <f t="shared" si="9"/>
        <v>0</v>
      </c>
      <c r="L23" s="43">
        <f t="shared" si="9"/>
        <v>0</v>
      </c>
      <c r="M23" s="35">
        <f t="shared" si="2"/>
        <v>0</v>
      </c>
      <c r="N23" s="43"/>
    </row>
    <row r="24" spans="2:14" x14ac:dyDescent="0.3">
      <c r="B24" s="27"/>
      <c r="C24" s="17"/>
      <c r="D24" s="3">
        <v>6061</v>
      </c>
      <c r="E24" s="3" t="s">
        <v>183</v>
      </c>
      <c r="F24" s="35"/>
      <c r="G24" s="35"/>
      <c r="H24" s="35"/>
      <c r="I24" s="35"/>
      <c r="J24" s="35"/>
      <c r="K24" s="35"/>
      <c r="L24" s="35"/>
      <c r="M24" s="35">
        <f t="shared" si="2"/>
        <v>0</v>
      </c>
      <c r="N24" s="35" t="e">
        <f t="shared" ref="N24:N28" si="10">K24/I24</f>
        <v>#DIV/0!</v>
      </c>
    </row>
    <row r="25" spans="2:14" x14ac:dyDescent="0.3">
      <c r="B25" s="27"/>
      <c r="C25" s="17"/>
      <c r="D25" s="3">
        <v>6062</v>
      </c>
      <c r="E25" s="3" t="s">
        <v>182</v>
      </c>
      <c r="F25" s="35"/>
      <c r="G25" s="35"/>
      <c r="H25" s="35"/>
      <c r="I25" s="35"/>
      <c r="J25" s="35"/>
      <c r="K25" s="35"/>
      <c r="L25" s="35"/>
      <c r="M25" s="35">
        <f t="shared" si="2"/>
        <v>0</v>
      </c>
      <c r="N25" s="35" t="e">
        <f t="shared" si="10"/>
        <v>#DIV/0!</v>
      </c>
    </row>
    <row r="26" spans="2:14" x14ac:dyDescent="0.3">
      <c r="B26" s="27"/>
      <c r="C26" s="17"/>
      <c r="D26" s="3">
        <v>6063</v>
      </c>
      <c r="E26" s="3" t="s">
        <v>184</v>
      </c>
      <c r="F26" s="35"/>
      <c r="G26" s="35"/>
      <c r="H26" s="35"/>
      <c r="I26" s="35"/>
      <c r="J26" s="35"/>
      <c r="K26" s="35"/>
      <c r="L26" s="35"/>
      <c r="M26" s="35">
        <f t="shared" ref="M26:M28" si="11">K26-L26</f>
        <v>0</v>
      </c>
      <c r="N26" s="35" t="e">
        <f t="shared" si="10"/>
        <v>#DIV/0!</v>
      </c>
    </row>
    <row r="27" spans="2:14" x14ac:dyDescent="0.3">
      <c r="B27" s="27"/>
      <c r="C27" s="17"/>
      <c r="D27" s="3">
        <v>6064</v>
      </c>
      <c r="E27" s="3" t="s">
        <v>185</v>
      </c>
      <c r="F27" s="35"/>
      <c r="G27" s="35"/>
      <c r="H27" s="35"/>
      <c r="I27" s="35"/>
      <c r="J27" s="35"/>
      <c r="K27" s="35"/>
      <c r="L27" s="35"/>
      <c r="M27" s="35">
        <f t="shared" si="11"/>
        <v>0</v>
      </c>
      <c r="N27" s="35" t="e">
        <f t="shared" si="10"/>
        <v>#DIV/0!</v>
      </c>
    </row>
    <row r="28" spans="2:14" x14ac:dyDescent="0.3">
      <c r="B28" s="27"/>
      <c r="C28" s="17"/>
      <c r="D28" s="3">
        <v>6068</v>
      </c>
      <c r="E28" s="3" t="s">
        <v>186</v>
      </c>
      <c r="F28" s="35"/>
      <c r="G28" s="35"/>
      <c r="H28" s="35"/>
      <c r="I28" s="35"/>
      <c r="J28" s="35"/>
      <c r="K28" s="35"/>
      <c r="L28" s="35"/>
      <c r="M28" s="35">
        <f t="shared" si="11"/>
        <v>0</v>
      </c>
      <c r="N28" s="35" t="e">
        <f t="shared" si="10"/>
        <v>#DIV/0!</v>
      </c>
    </row>
    <row r="29" spans="2:14" s="10" customFormat="1" ht="30" customHeight="1" x14ac:dyDescent="0.3">
      <c r="B29" s="27">
        <v>61</v>
      </c>
      <c r="C29" s="17"/>
      <c r="D29" s="17"/>
      <c r="E29" s="17" t="s">
        <v>154</v>
      </c>
      <c r="F29" s="43">
        <f>SUM(F30,F38,F47,F51,F56)</f>
        <v>0</v>
      </c>
      <c r="G29" s="43">
        <f t="shared" ref="G29:M29" si="12">SUM(G30,G38,G47,G51,G56)</f>
        <v>0</v>
      </c>
      <c r="H29" s="43">
        <f t="shared" si="12"/>
        <v>0</v>
      </c>
      <c r="I29" s="43">
        <f t="shared" si="12"/>
        <v>0</v>
      </c>
      <c r="J29" s="43">
        <f t="shared" si="12"/>
        <v>0</v>
      </c>
      <c r="K29" s="43">
        <f t="shared" si="12"/>
        <v>0</v>
      </c>
      <c r="L29" s="43">
        <f t="shared" si="12"/>
        <v>0</v>
      </c>
      <c r="M29" s="43">
        <f t="shared" si="12"/>
        <v>0</v>
      </c>
      <c r="N29" s="43" t="e">
        <f>K29/I29</f>
        <v>#DIV/0!</v>
      </c>
    </row>
    <row r="30" spans="2:14" s="10" customFormat="1" x14ac:dyDescent="0.3">
      <c r="B30" s="27"/>
      <c r="C30" s="17">
        <v>611</v>
      </c>
      <c r="D30" s="3"/>
      <c r="E30" s="17" t="s">
        <v>187</v>
      </c>
      <c r="F30" s="43">
        <f>SUM(F31:F37)</f>
        <v>0</v>
      </c>
      <c r="G30" s="43">
        <f t="shared" ref="G30:L30" si="13">SUM(G31:G37)</f>
        <v>0</v>
      </c>
      <c r="H30" s="43">
        <f t="shared" si="13"/>
        <v>0</v>
      </c>
      <c r="I30" s="43">
        <f t="shared" si="13"/>
        <v>0</v>
      </c>
      <c r="J30" s="43">
        <f t="shared" si="13"/>
        <v>0</v>
      </c>
      <c r="K30" s="43">
        <f t="shared" si="13"/>
        <v>0</v>
      </c>
      <c r="L30" s="43">
        <f t="shared" si="13"/>
        <v>0</v>
      </c>
      <c r="M30" s="35">
        <f t="shared" ref="M30:M38" si="14">K30-L30</f>
        <v>0</v>
      </c>
      <c r="N30" s="43"/>
    </row>
    <row r="31" spans="2:14" x14ac:dyDescent="0.3">
      <c r="B31" s="27"/>
      <c r="C31" s="17"/>
      <c r="D31" s="3">
        <v>6111</v>
      </c>
      <c r="E31" s="3" t="s">
        <v>188</v>
      </c>
      <c r="F31" s="35"/>
      <c r="G31" s="35"/>
      <c r="H31" s="35"/>
      <c r="I31" s="35"/>
      <c r="J31" s="35"/>
      <c r="K31" s="35"/>
      <c r="L31" s="35"/>
      <c r="M31" s="35">
        <f t="shared" si="14"/>
        <v>0</v>
      </c>
      <c r="N31" s="35" t="e">
        <f t="shared" ref="N31:N37" si="15">K31/I31</f>
        <v>#DIV/0!</v>
      </c>
    </row>
    <row r="32" spans="2:14" x14ac:dyDescent="0.3">
      <c r="B32" s="27"/>
      <c r="C32" s="17"/>
      <c r="D32" s="3">
        <v>6112</v>
      </c>
      <c r="E32" s="3" t="s">
        <v>189</v>
      </c>
      <c r="F32" s="35"/>
      <c r="G32" s="35"/>
      <c r="H32" s="35"/>
      <c r="I32" s="35"/>
      <c r="J32" s="35"/>
      <c r="K32" s="35"/>
      <c r="L32" s="35"/>
      <c r="M32" s="35">
        <f t="shared" si="14"/>
        <v>0</v>
      </c>
      <c r="N32" s="35" t="e">
        <f t="shared" si="15"/>
        <v>#DIV/0!</v>
      </c>
    </row>
    <row r="33" spans="2:14" x14ac:dyDescent="0.3">
      <c r="B33" s="27"/>
      <c r="C33" s="17"/>
      <c r="D33" s="3">
        <v>6113</v>
      </c>
      <c r="E33" s="3" t="s">
        <v>190</v>
      </c>
      <c r="F33" s="35"/>
      <c r="G33" s="35"/>
      <c r="H33" s="35"/>
      <c r="I33" s="35"/>
      <c r="J33" s="35"/>
      <c r="K33" s="35"/>
      <c r="L33" s="35"/>
      <c r="M33" s="35">
        <f t="shared" si="14"/>
        <v>0</v>
      </c>
      <c r="N33" s="35" t="e">
        <f t="shared" si="15"/>
        <v>#DIV/0!</v>
      </c>
    </row>
    <row r="34" spans="2:14" x14ac:dyDescent="0.3">
      <c r="B34" s="27"/>
      <c r="C34" s="17"/>
      <c r="D34" s="3">
        <v>6114</v>
      </c>
      <c r="E34" s="3" t="s">
        <v>191</v>
      </c>
      <c r="F34" s="35"/>
      <c r="G34" s="35"/>
      <c r="H34" s="35"/>
      <c r="I34" s="35"/>
      <c r="J34" s="35"/>
      <c r="K34" s="35"/>
      <c r="L34" s="35"/>
      <c r="M34" s="35">
        <f t="shared" si="14"/>
        <v>0</v>
      </c>
      <c r="N34" s="35" t="e">
        <f t="shared" si="15"/>
        <v>#DIV/0!</v>
      </c>
    </row>
    <row r="35" spans="2:14" x14ac:dyDescent="0.3">
      <c r="B35" s="27"/>
      <c r="C35" s="17"/>
      <c r="D35" s="3">
        <v>6115</v>
      </c>
      <c r="E35" s="3" t="s">
        <v>192</v>
      </c>
      <c r="F35" s="35"/>
      <c r="G35" s="35"/>
      <c r="H35" s="35"/>
      <c r="I35" s="35"/>
      <c r="J35" s="35"/>
      <c r="K35" s="35"/>
      <c r="L35" s="35"/>
      <c r="M35" s="35">
        <f t="shared" si="14"/>
        <v>0</v>
      </c>
      <c r="N35" s="35" t="e">
        <f t="shared" si="15"/>
        <v>#DIV/0!</v>
      </c>
    </row>
    <row r="36" spans="2:14" x14ac:dyDescent="0.3">
      <c r="B36" s="27"/>
      <c r="C36" s="17"/>
      <c r="D36" s="3">
        <v>6116</v>
      </c>
      <c r="E36" s="3" t="s">
        <v>193</v>
      </c>
      <c r="F36" s="35"/>
      <c r="G36" s="35"/>
      <c r="H36" s="35"/>
      <c r="I36" s="35"/>
      <c r="J36" s="35"/>
      <c r="K36" s="35"/>
      <c r="L36" s="35"/>
      <c r="M36" s="35">
        <f t="shared" si="14"/>
        <v>0</v>
      </c>
      <c r="N36" s="35" t="e">
        <f t="shared" si="15"/>
        <v>#DIV/0!</v>
      </c>
    </row>
    <row r="37" spans="2:14" x14ac:dyDescent="0.3">
      <c r="B37" s="27"/>
      <c r="C37" s="17"/>
      <c r="D37" s="3">
        <v>6117</v>
      </c>
      <c r="E37" s="3" t="s">
        <v>194</v>
      </c>
      <c r="F37" s="35"/>
      <c r="G37" s="35"/>
      <c r="H37" s="35"/>
      <c r="I37" s="35"/>
      <c r="J37" s="35"/>
      <c r="K37" s="35"/>
      <c r="L37" s="35"/>
      <c r="M37" s="35">
        <f t="shared" si="14"/>
        <v>0</v>
      </c>
      <c r="N37" s="35" t="e">
        <f t="shared" si="15"/>
        <v>#DIV/0!</v>
      </c>
    </row>
    <row r="38" spans="2:14" s="10" customFormat="1" x14ac:dyDescent="0.3">
      <c r="B38" s="27"/>
      <c r="C38" s="17">
        <v>612</v>
      </c>
      <c r="D38" s="3"/>
      <c r="E38" s="17" t="s">
        <v>195</v>
      </c>
      <c r="F38" s="43">
        <f>SUM(F39:F46)</f>
        <v>0</v>
      </c>
      <c r="G38" s="43">
        <f t="shared" ref="G38:L38" si="16">SUM(G39:G46)</f>
        <v>0</v>
      </c>
      <c r="H38" s="43">
        <f t="shared" si="16"/>
        <v>0</v>
      </c>
      <c r="I38" s="43">
        <f t="shared" si="16"/>
        <v>0</v>
      </c>
      <c r="J38" s="43">
        <f t="shared" si="16"/>
        <v>0</v>
      </c>
      <c r="K38" s="43">
        <f t="shared" si="16"/>
        <v>0</v>
      </c>
      <c r="L38" s="43">
        <f t="shared" si="16"/>
        <v>0</v>
      </c>
      <c r="M38" s="35">
        <f t="shared" si="14"/>
        <v>0</v>
      </c>
      <c r="N38" s="43"/>
    </row>
    <row r="39" spans="2:14" x14ac:dyDescent="0.3">
      <c r="B39" s="27"/>
      <c r="C39" s="17"/>
      <c r="D39" s="3">
        <v>6121</v>
      </c>
      <c r="E39" s="3" t="s">
        <v>196</v>
      </c>
      <c r="F39" s="35"/>
      <c r="G39" s="35"/>
      <c r="H39" s="35"/>
      <c r="I39" s="35"/>
      <c r="J39" s="35"/>
      <c r="K39" s="35"/>
      <c r="L39" s="35"/>
      <c r="M39" s="35">
        <f t="shared" ref="M39:M47" si="17">K39-L39</f>
        <v>0</v>
      </c>
      <c r="N39" s="35" t="e">
        <f t="shared" ref="N39:N46" si="18">K39/I39</f>
        <v>#DIV/0!</v>
      </c>
    </row>
    <row r="40" spans="2:14" x14ac:dyDescent="0.3">
      <c r="B40" s="27"/>
      <c r="C40" s="17"/>
      <c r="D40" s="3">
        <v>6122</v>
      </c>
      <c r="E40" s="3" t="s">
        <v>197</v>
      </c>
      <c r="F40" s="35"/>
      <c r="G40" s="35"/>
      <c r="H40" s="35"/>
      <c r="I40" s="35"/>
      <c r="J40" s="35"/>
      <c r="K40" s="35"/>
      <c r="L40" s="35"/>
      <c r="M40" s="35">
        <f t="shared" si="17"/>
        <v>0</v>
      </c>
      <c r="N40" s="35" t="e">
        <f t="shared" si="18"/>
        <v>#DIV/0!</v>
      </c>
    </row>
    <row r="41" spans="2:14" x14ac:dyDescent="0.3">
      <c r="B41" s="27"/>
      <c r="C41" s="17"/>
      <c r="D41" s="3">
        <v>6123</v>
      </c>
      <c r="E41" s="3" t="s">
        <v>198</v>
      </c>
      <c r="F41" s="35"/>
      <c r="G41" s="35"/>
      <c r="H41" s="35"/>
      <c r="I41" s="35"/>
      <c r="J41" s="35"/>
      <c r="K41" s="35"/>
      <c r="L41" s="35"/>
      <c r="M41" s="35">
        <f t="shared" si="17"/>
        <v>0</v>
      </c>
      <c r="N41" s="35" t="e">
        <f t="shared" si="18"/>
        <v>#DIV/0!</v>
      </c>
    </row>
    <row r="42" spans="2:14" x14ac:dyDescent="0.3">
      <c r="B42" s="27"/>
      <c r="C42" s="17"/>
      <c r="D42" s="3">
        <v>6124</v>
      </c>
      <c r="E42" s="3" t="s">
        <v>199</v>
      </c>
      <c r="F42" s="35"/>
      <c r="G42" s="35"/>
      <c r="H42" s="35"/>
      <c r="I42" s="35"/>
      <c r="J42" s="35"/>
      <c r="K42" s="35"/>
      <c r="L42" s="35"/>
      <c r="M42" s="35">
        <f t="shared" si="17"/>
        <v>0</v>
      </c>
      <c r="N42" s="35" t="e">
        <f t="shared" si="18"/>
        <v>#DIV/0!</v>
      </c>
    </row>
    <row r="43" spans="2:14" x14ac:dyDescent="0.3">
      <c r="B43" s="27"/>
      <c r="C43" s="17"/>
      <c r="D43" s="3">
        <v>6125</v>
      </c>
      <c r="E43" s="3" t="s">
        <v>200</v>
      </c>
      <c r="F43" s="35"/>
      <c r="G43" s="35"/>
      <c r="H43" s="35"/>
      <c r="I43" s="35"/>
      <c r="J43" s="35"/>
      <c r="K43" s="35"/>
      <c r="L43" s="35"/>
      <c r="M43" s="35">
        <f t="shared" si="17"/>
        <v>0</v>
      </c>
      <c r="N43" s="35" t="e">
        <f t="shared" si="18"/>
        <v>#DIV/0!</v>
      </c>
    </row>
    <row r="44" spans="2:14" x14ac:dyDescent="0.3">
      <c r="B44" s="27"/>
      <c r="C44" s="17"/>
      <c r="D44" s="3">
        <v>6126</v>
      </c>
      <c r="E44" s="3" t="s">
        <v>201</v>
      </c>
      <c r="F44" s="35"/>
      <c r="G44" s="35"/>
      <c r="H44" s="35"/>
      <c r="I44" s="35"/>
      <c r="J44" s="35"/>
      <c r="K44" s="35"/>
      <c r="L44" s="35"/>
      <c r="M44" s="35">
        <f t="shared" si="17"/>
        <v>0</v>
      </c>
      <c r="N44" s="35" t="e">
        <f t="shared" si="18"/>
        <v>#DIV/0!</v>
      </c>
    </row>
    <row r="45" spans="2:14" x14ac:dyDescent="0.3">
      <c r="B45" s="27"/>
      <c r="C45" s="17"/>
      <c r="D45" s="3">
        <v>6127</v>
      </c>
      <c r="E45" s="3" t="s">
        <v>202</v>
      </c>
      <c r="F45" s="35"/>
      <c r="G45" s="35"/>
      <c r="H45" s="35"/>
      <c r="I45" s="35"/>
      <c r="J45" s="35"/>
      <c r="K45" s="35"/>
      <c r="L45" s="35"/>
      <c r="M45" s="35">
        <f t="shared" si="17"/>
        <v>0</v>
      </c>
      <c r="N45" s="35" t="e">
        <f t="shared" si="18"/>
        <v>#DIV/0!</v>
      </c>
    </row>
    <row r="46" spans="2:14" x14ac:dyDescent="0.3">
      <c r="B46" s="27"/>
      <c r="C46" s="17"/>
      <c r="D46" s="3">
        <v>6128</v>
      </c>
      <c r="E46" s="3" t="s">
        <v>203</v>
      </c>
      <c r="F46" s="35"/>
      <c r="G46" s="35"/>
      <c r="H46" s="35"/>
      <c r="I46" s="35"/>
      <c r="J46" s="35"/>
      <c r="K46" s="35"/>
      <c r="L46" s="35"/>
      <c r="M46" s="35">
        <f t="shared" si="17"/>
        <v>0</v>
      </c>
      <c r="N46" s="35" t="e">
        <f t="shared" si="18"/>
        <v>#DIV/0!</v>
      </c>
    </row>
    <row r="47" spans="2:14" s="10" customFormat="1" x14ac:dyDescent="0.3">
      <c r="B47" s="27"/>
      <c r="C47" s="17">
        <v>613</v>
      </c>
      <c r="D47" s="3"/>
      <c r="E47" s="17" t="s">
        <v>204</v>
      </c>
      <c r="F47" s="43">
        <f>SUM(F48:F50)</f>
        <v>0</v>
      </c>
      <c r="G47" s="43">
        <f t="shared" ref="G47:L47" si="19">SUM(G48:G50)</f>
        <v>0</v>
      </c>
      <c r="H47" s="43">
        <f t="shared" si="19"/>
        <v>0</v>
      </c>
      <c r="I47" s="43">
        <f t="shared" si="19"/>
        <v>0</v>
      </c>
      <c r="J47" s="43">
        <f t="shared" si="19"/>
        <v>0</v>
      </c>
      <c r="K47" s="43">
        <f t="shared" si="19"/>
        <v>0</v>
      </c>
      <c r="L47" s="43">
        <f t="shared" si="19"/>
        <v>0</v>
      </c>
      <c r="M47" s="35">
        <f t="shared" si="17"/>
        <v>0</v>
      </c>
      <c r="N47" s="43"/>
    </row>
    <row r="48" spans="2:14" x14ac:dyDescent="0.3">
      <c r="B48" s="27"/>
      <c r="C48" s="17"/>
      <c r="D48" s="3">
        <v>6131</v>
      </c>
      <c r="E48" s="3" t="s">
        <v>205</v>
      </c>
      <c r="F48" s="35"/>
      <c r="G48" s="35"/>
      <c r="H48" s="35"/>
      <c r="I48" s="35"/>
      <c r="J48" s="35"/>
      <c r="K48" s="35"/>
      <c r="L48" s="35"/>
      <c r="M48" s="35">
        <f t="shared" ref="M48:M51" si="20">K48-L48</f>
        <v>0</v>
      </c>
      <c r="N48" s="35" t="e">
        <f t="shared" ref="N48:N50" si="21">K48/I48</f>
        <v>#DIV/0!</v>
      </c>
    </row>
    <row r="49" spans="2:14" x14ac:dyDescent="0.3">
      <c r="B49" s="27"/>
      <c r="C49" s="17"/>
      <c r="D49" s="3">
        <v>6132</v>
      </c>
      <c r="E49" s="3" t="s">
        <v>206</v>
      </c>
      <c r="F49" s="35"/>
      <c r="G49" s="35"/>
      <c r="H49" s="35"/>
      <c r="I49" s="35"/>
      <c r="J49" s="35"/>
      <c r="K49" s="35"/>
      <c r="L49" s="35"/>
      <c r="M49" s="35">
        <f t="shared" si="20"/>
        <v>0</v>
      </c>
      <c r="N49" s="35" t="e">
        <f t="shared" si="21"/>
        <v>#DIV/0!</v>
      </c>
    </row>
    <row r="50" spans="2:14" x14ac:dyDescent="0.3">
      <c r="B50" s="27"/>
      <c r="C50" s="17"/>
      <c r="D50" s="3">
        <v>6138</v>
      </c>
      <c r="E50" s="3" t="s">
        <v>207</v>
      </c>
      <c r="F50" s="35"/>
      <c r="G50" s="35"/>
      <c r="H50" s="35"/>
      <c r="I50" s="35"/>
      <c r="J50" s="35"/>
      <c r="K50" s="35"/>
      <c r="L50" s="35"/>
      <c r="M50" s="35">
        <f t="shared" si="20"/>
        <v>0</v>
      </c>
      <c r="N50" s="35" t="e">
        <f t="shared" si="21"/>
        <v>#DIV/0!</v>
      </c>
    </row>
    <row r="51" spans="2:14" s="10" customFormat="1" x14ac:dyDescent="0.3">
      <c r="B51" s="27"/>
      <c r="C51" s="17">
        <v>616</v>
      </c>
      <c r="D51" s="3"/>
      <c r="E51" s="17" t="s">
        <v>208</v>
      </c>
      <c r="F51" s="43">
        <f>SUM(F52:F55)</f>
        <v>0</v>
      </c>
      <c r="G51" s="43">
        <f t="shared" ref="G51:L51" si="22">SUM(G52:G55)</f>
        <v>0</v>
      </c>
      <c r="H51" s="43">
        <f t="shared" si="22"/>
        <v>0</v>
      </c>
      <c r="I51" s="43">
        <f t="shared" si="22"/>
        <v>0</v>
      </c>
      <c r="J51" s="43">
        <f t="shared" si="22"/>
        <v>0</v>
      </c>
      <c r="K51" s="43">
        <f t="shared" si="22"/>
        <v>0</v>
      </c>
      <c r="L51" s="43">
        <f t="shared" si="22"/>
        <v>0</v>
      </c>
      <c r="M51" s="35">
        <f t="shared" si="20"/>
        <v>0</v>
      </c>
      <c r="N51" s="43"/>
    </row>
    <row r="52" spans="2:14" x14ac:dyDescent="0.3">
      <c r="B52" s="27"/>
      <c r="C52" s="17"/>
      <c r="D52" s="3">
        <v>6161</v>
      </c>
      <c r="E52" s="3" t="s">
        <v>209</v>
      </c>
      <c r="F52" s="35"/>
      <c r="G52" s="35"/>
      <c r="H52" s="35"/>
      <c r="I52" s="35"/>
      <c r="J52" s="35"/>
      <c r="K52" s="35"/>
      <c r="L52" s="35"/>
      <c r="M52" s="35">
        <f t="shared" ref="M52:M56" si="23">K52-L52</f>
        <v>0</v>
      </c>
      <c r="N52" s="35" t="e">
        <f t="shared" ref="N52:N55" si="24">K52/I52</f>
        <v>#DIV/0!</v>
      </c>
    </row>
    <row r="53" spans="2:14" x14ac:dyDescent="0.3">
      <c r="B53" s="27"/>
      <c r="C53" s="17"/>
      <c r="D53" s="3">
        <v>6162</v>
      </c>
      <c r="E53" s="3" t="s">
        <v>210</v>
      </c>
      <c r="F53" s="35"/>
      <c r="G53" s="35"/>
      <c r="H53" s="35"/>
      <c r="I53" s="35"/>
      <c r="J53" s="35"/>
      <c r="K53" s="35"/>
      <c r="L53" s="35"/>
      <c r="M53" s="35">
        <f t="shared" si="23"/>
        <v>0</v>
      </c>
      <c r="N53" s="35" t="e">
        <f t="shared" si="24"/>
        <v>#DIV/0!</v>
      </c>
    </row>
    <row r="54" spans="2:14" x14ac:dyDescent="0.3">
      <c r="B54" s="27"/>
      <c r="C54" s="17"/>
      <c r="D54" s="3">
        <v>6163</v>
      </c>
      <c r="E54" s="3" t="s">
        <v>211</v>
      </c>
      <c r="F54" s="35"/>
      <c r="G54" s="35"/>
      <c r="H54" s="35"/>
      <c r="I54" s="35"/>
      <c r="J54" s="35"/>
      <c r="K54" s="35"/>
      <c r="L54" s="35"/>
      <c r="M54" s="35">
        <f t="shared" si="23"/>
        <v>0</v>
      </c>
      <c r="N54" s="35" t="e">
        <f t="shared" si="24"/>
        <v>#DIV/0!</v>
      </c>
    </row>
    <row r="55" spans="2:14" x14ac:dyDescent="0.3">
      <c r="B55" s="27"/>
      <c r="C55" s="17"/>
      <c r="D55" s="3">
        <v>6168</v>
      </c>
      <c r="E55" s="3" t="s">
        <v>212</v>
      </c>
      <c r="F55" s="35"/>
      <c r="G55" s="35"/>
      <c r="H55" s="35"/>
      <c r="I55" s="35"/>
      <c r="J55" s="35"/>
      <c r="K55" s="35"/>
      <c r="L55" s="35"/>
      <c r="M55" s="35">
        <f t="shared" si="23"/>
        <v>0</v>
      </c>
      <c r="N55" s="35" t="e">
        <f t="shared" si="24"/>
        <v>#DIV/0!</v>
      </c>
    </row>
    <row r="56" spans="2:14" s="10" customFormat="1" x14ac:dyDescent="0.3">
      <c r="B56" s="27"/>
      <c r="C56" s="17">
        <v>618</v>
      </c>
      <c r="D56" s="3"/>
      <c r="E56" s="17" t="s">
        <v>213</v>
      </c>
      <c r="F56" s="43">
        <f>SUM(F57:F59)</f>
        <v>0</v>
      </c>
      <c r="G56" s="43">
        <f t="shared" ref="G56:L56" si="25">SUM(G57:G59)</f>
        <v>0</v>
      </c>
      <c r="H56" s="43">
        <f t="shared" si="25"/>
        <v>0</v>
      </c>
      <c r="I56" s="43">
        <f t="shared" si="25"/>
        <v>0</v>
      </c>
      <c r="J56" s="43">
        <f t="shared" si="25"/>
        <v>0</v>
      </c>
      <c r="K56" s="43">
        <f t="shared" si="25"/>
        <v>0</v>
      </c>
      <c r="L56" s="43">
        <f t="shared" si="25"/>
        <v>0</v>
      </c>
      <c r="M56" s="35">
        <f t="shared" si="23"/>
        <v>0</v>
      </c>
      <c r="N56" s="43"/>
    </row>
    <row r="57" spans="2:14" x14ac:dyDescent="0.3">
      <c r="B57" s="27"/>
      <c r="C57" s="17"/>
      <c r="D57" s="3">
        <v>6181</v>
      </c>
      <c r="E57" s="3" t="s">
        <v>214</v>
      </c>
      <c r="F57" s="35"/>
      <c r="G57" s="35"/>
      <c r="H57" s="35"/>
      <c r="I57" s="35"/>
      <c r="J57" s="35"/>
      <c r="K57" s="35"/>
      <c r="L57" s="35"/>
      <c r="M57" s="35">
        <f t="shared" ref="M57:M59" si="26">K57-L57</f>
        <v>0</v>
      </c>
      <c r="N57" s="35" t="e">
        <f t="shared" ref="N57:N59" si="27">K57/I57</f>
        <v>#DIV/0!</v>
      </c>
    </row>
    <row r="58" spans="2:14" x14ac:dyDescent="0.3">
      <c r="B58" s="27"/>
      <c r="C58" s="17"/>
      <c r="D58" s="3">
        <v>6182</v>
      </c>
      <c r="E58" s="3" t="s">
        <v>215</v>
      </c>
      <c r="F58" s="35"/>
      <c r="G58" s="35"/>
      <c r="H58" s="35"/>
      <c r="I58" s="35"/>
      <c r="J58" s="35"/>
      <c r="K58" s="35"/>
      <c r="L58" s="35"/>
      <c r="M58" s="35">
        <f t="shared" si="26"/>
        <v>0</v>
      </c>
      <c r="N58" s="35" t="e">
        <f t="shared" si="27"/>
        <v>#DIV/0!</v>
      </c>
    </row>
    <row r="59" spans="2:14" x14ac:dyDescent="0.3">
      <c r="B59" s="27"/>
      <c r="C59" s="17"/>
      <c r="D59" s="3">
        <v>6183</v>
      </c>
      <c r="E59" s="3" t="s">
        <v>216</v>
      </c>
      <c r="F59" s="35"/>
      <c r="G59" s="35"/>
      <c r="H59" s="35"/>
      <c r="I59" s="35"/>
      <c r="J59" s="35"/>
      <c r="K59" s="35"/>
      <c r="L59" s="35"/>
      <c r="M59" s="35">
        <f t="shared" si="26"/>
        <v>0</v>
      </c>
      <c r="N59" s="35" t="e">
        <f t="shared" si="27"/>
        <v>#DIV/0!</v>
      </c>
    </row>
    <row r="60" spans="2:14" s="10" customFormat="1" ht="30" customHeight="1" x14ac:dyDescent="0.3">
      <c r="B60" s="27">
        <v>62</v>
      </c>
      <c r="C60" s="17"/>
      <c r="D60" s="17"/>
      <c r="E60" s="17" t="s">
        <v>155</v>
      </c>
      <c r="F60" s="43">
        <f>SUM(F61,F70,F77,F83,F87,F89,F96,F103)</f>
        <v>0</v>
      </c>
      <c r="G60" s="43">
        <f t="shared" ref="G60:M60" si="28">SUM(G61,G70,G77,G83,G87,G89,G96,G103)</f>
        <v>0</v>
      </c>
      <c r="H60" s="43">
        <f t="shared" si="28"/>
        <v>0</v>
      </c>
      <c r="I60" s="43">
        <f t="shared" si="28"/>
        <v>0</v>
      </c>
      <c r="J60" s="43">
        <f t="shared" si="28"/>
        <v>0</v>
      </c>
      <c r="K60" s="43">
        <f t="shared" si="28"/>
        <v>0</v>
      </c>
      <c r="L60" s="43">
        <f t="shared" si="28"/>
        <v>0</v>
      </c>
      <c r="M60" s="43">
        <f t="shared" si="28"/>
        <v>0</v>
      </c>
      <c r="N60" s="43" t="e">
        <f>K60/I60</f>
        <v>#DIV/0!</v>
      </c>
    </row>
    <row r="61" spans="2:14" s="10" customFormat="1" x14ac:dyDescent="0.3">
      <c r="B61" s="27"/>
      <c r="C61" s="17">
        <v>621</v>
      </c>
      <c r="D61" s="3"/>
      <c r="E61" s="17" t="s">
        <v>217</v>
      </c>
      <c r="F61" s="43">
        <f>SUM(F62:F69)</f>
        <v>0</v>
      </c>
      <c r="G61" s="43">
        <f t="shared" ref="G61:L61" si="29">SUM(G62:G69)</f>
        <v>0</v>
      </c>
      <c r="H61" s="43">
        <f t="shared" si="29"/>
        <v>0</v>
      </c>
      <c r="I61" s="43">
        <f t="shared" si="29"/>
        <v>0</v>
      </c>
      <c r="J61" s="43">
        <f t="shared" si="29"/>
        <v>0</v>
      </c>
      <c r="K61" s="43">
        <f t="shared" si="29"/>
        <v>0</v>
      </c>
      <c r="L61" s="43">
        <f t="shared" si="29"/>
        <v>0</v>
      </c>
      <c r="M61" s="35">
        <f t="shared" ref="M61:M70" si="30">K61-L61</f>
        <v>0</v>
      </c>
      <c r="N61" s="43"/>
    </row>
    <row r="62" spans="2:14" x14ac:dyDescent="0.3">
      <c r="B62" s="27"/>
      <c r="C62" s="17"/>
      <c r="D62" s="3">
        <v>6211</v>
      </c>
      <c r="E62" s="3" t="s">
        <v>218</v>
      </c>
      <c r="F62" s="35"/>
      <c r="G62" s="35"/>
      <c r="H62" s="35"/>
      <c r="I62" s="35"/>
      <c r="J62" s="35"/>
      <c r="K62" s="35"/>
      <c r="L62" s="35"/>
      <c r="M62" s="35">
        <f t="shared" si="30"/>
        <v>0</v>
      </c>
      <c r="N62" s="35" t="e">
        <f t="shared" ref="N62:N69" si="31">K62/I62</f>
        <v>#DIV/0!</v>
      </c>
    </row>
    <row r="63" spans="2:14" x14ac:dyDescent="0.3">
      <c r="B63" s="27"/>
      <c r="C63" s="17"/>
      <c r="D63" s="3">
        <v>6212</v>
      </c>
      <c r="E63" s="3" t="s">
        <v>219</v>
      </c>
      <c r="F63" s="35"/>
      <c r="G63" s="35"/>
      <c r="H63" s="35"/>
      <c r="I63" s="35"/>
      <c r="J63" s="35"/>
      <c r="K63" s="35"/>
      <c r="L63" s="35"/>
      <c r="M63" s="35">
        <f t="shared" si="30"/>
        <v>0</v>
      </c>
      <c r="N63" s="35" t="e">
        <f t="shared" si="31"/>
        <v>#DIV/0!</v>
      </c>
    </row>
    <row r="64" spans="2:14" x14ac:dyDescent="0.3">
      <c r="B64" s="27"/>
      <c r="C64" s="17"/>
      <c r="D64" s="3">
        <v>6213</v>
      </c>
      <c r="E64" s="3" t="s">
        <v>220</v>
      </c>
      <c r="F64" s="35"/>
      <c r="G64" s="35"/>
      <c r="H64" s="35"/>
      <c r="I64" s="35"/>
      <c r="J64" s="35"/>
      <c r="K64" s="35"/>
      <c r="L64" s="35"/>
      <c r="M64" s="35">
        <f t="shared" si="30"/>
        <v>0</v>
      </c>
      <c r="N64" s="35" t="e">
        <f t="shared" si="31"/>
        <v>#DIV/0!</v>
      </c>
    </row>
    <row r="65" spans="2:14" x14ac:dyDescent="0.3">
      <c r="B65" s="27"/>
      <c r="C65" s="17"/>
      <c r="D65" s="3">
        <v>6214</v>
      </c>
      <c r="E65" s="3" t="s">
        <v>221</v>
      </c>
      <c r="F65" s="35"/>
      <c r="G65" s="35"/>
      <c r="H65" s="35"/>
      <c r="I65" s="35"/>
      <c r="J65" s="35"/>
      <c r="K65" s="35"/>
      <c r="L65" s="35"/>
      <c r="M65" s="35">
        <f t="shared" si="30"/>
        <v>0</v>
      </c>
      <c r="N65" s="35" t="e">
        <f t="shared" si="31"/>
        <v>#DIV/0!</v>
      </c>
    </row>
    <row r="66" spans="2:14" x14ac:dyDescent="0.3">
      <c r="B66" s="27"/>
      <c r="C66" s="17"/>
      <c r="D66" s="3">
        <v>6215</v>
      </c>
      <c r="E66" s="3" t="s">
        <v>222</v>
      </c>
      <c r="F66" s="35"/>
      <c r="G66" s="35"/>
      <c r="H66" s="35"/>
      <c r="I66" s="35"/>
      <c r="J66" s="35"/>
      <c r="K66" s="35"/>
      <c r="L66" s="35"/>
      <c r="M66" s="35">
        <f t="shared" si="30"/>
        <v>0</v>
      </c>
      <c r="N66" s="35" t="e">
        <f t="shared" si="31"/>
        <v>#DIV/0!</v>
      </c>
    </row>
    <row r="67" spans="2:14" x14ac:dyDescent="0.3">
      <c r="B67" s="27"/>
      <c r="C67" s="17"/>
      <c r="D67" s="3">
        <v>6216</v>
      </c>
      <c r="E67" s="3" t="s">
        <v>223</v>
      </c>
      <c r="F67" s="35"/>
      <c r="G67" s="35"/>
      <c r="H67" s="35"/>
      <c r="I67" s="35"/>
      <c r="J67" s="35"/>
      <c r="K67" s="35"/>
      <c r="L67" s="35"/>
      <c r="M67" s="35">
        <f t="shared" si="30"/>
        <v>0</v>
      </c>
      <c r="N67" s="35" t="e">
        <f t="shared" si="31"/>
        <v>#DIV/0!</v>
      </c>
    </row>
    <row r="68" spans="2:14" x14ac:dyDescent="0.3">
      <c r="B68" s="27"/>
      <c r="C68" s="17"/>
      <c r="D68" s="3">
        <v>6217</v>
      </c>
      <c r="E68" s="3" t="s">
        <v>224</v>
      </c>
      <c r="F68" s="35"/>
      <c r="G68" s="35"/>
      <c r="H68" s="35"/>
      <c r="I68" s="35"/>
      <c r="J68" s="35"/>
      <c r="K68" s="35"/>
      <c r="L68" s="35"/>
      <c r="M68" s="35">
        <f t="shared" si="30"/>
        <v>0</v>
      </c>
      <c r="N68" s="35" t="e">
        <f t="shared" si="31"/>
        <v>#DIV/0!</v>
      </c>
    </row>
    <row r="69" spans="2:14" x14ac:dyDescent="0.3">
      <c r="B69" s="27"/>
      <c r="C69" s="17"/>
      <c r="D69" s="3">
        <v>6218</v>
      </c>
      <c r="E69" s="3" t="s">
        <v>225</v>
      </c>
      <c r="F69" s="35"/>
      <c r="G69" s="35"/>
      <c r="H69" s="35"/>
      <c r="I69" s="35"/>
      <c r="J69" s="35"/>
      <c r="K69" s="35"/>
      <c r="L69" s="35"/>
      <c r="M69" s="35">
        <f t="shared" si="30"/>
        <v>0</v>
      </c>
      <c r="N69" s="35" t="e">
        <f t="shared" si="31"/>
        <v>#DIV/0!</v>
      </c>
    </row>
    <row r="70" spans="2:14" s="10" customFormat="1" x14ac:dyDescent="0.3">
      <c r="B70" s="27"/>
      <c r="C70" s="17">
        <v>622</v>
      </c>
      <c r="D70" s="3"/>
      <c r="E70" s="17" t="s">
        <v>226</v>
      </c>
      <c r="F70" s="43">
        <f>SUM(F71:F76)</f>
        <v>0</v>
      </c>
      <c r="G70" s="43">
        <f t="shared" ref="G70:L70" si="32">SUM(G71:G76)</f>
        <v>0</v>
      </c>
      <c r="H70" s="43">
        <f t="shared" si="32"/>
        <v>0</v>
      </c>
      <c r="I70" s="43">
        <f t="shared" si="32"/>
        <v>0</v>
      </c>
      <c r="J70" s="43">
        <f t="shared" si="32"/>
        <v>0</v>
      </c>
      <c r="K70" s="43">
        <f t="shared" si="32"/>
        <v>0</v>
      </c>
      <c r="L70" s="43">
        <f t="shared" si="32"/>
        <v>0</v>
      </c>
      <c r="M70" s="35">
        <f t="shared" si="30"/>
        <v>0</v>
      </c>
      <c r="N70" s="43"/>
    </row>
    <row r="71" spans="2:14" x14ac:dyDescent="0.3">
      <c r="B71" s="27"/>
      <c r="C71" s="17"/>
      <c r="D71" s="3">
        <v>6221</v>
      </c>
      <c r="E71" s="3" t="s">
        <v>227</v>
      </c>
      <c r="F71" s="35"/>
      <c r="G71" s="35"/>
      <c r="H71" s="35"/>
      <c r="I71" s="35"/>
      <c r="J71" s="35"/>
      <c r="K71" s="35"/>
      <c r="L71" s="35"/>
      <c r="M71" s="35">
        <f t="shared" ref="M71:M77" si="33">K71-L71</f>
        <v>0</v>
      </c>
      <c r="N71" s="35" t="e">
        <f t="shared" ref="N71:N76" si="34">K71/I71</f>
        <v>#DIV/0!</v>
      </c>
    </row>
    <row r="72" spans="2:14" x14ac:dyDescent="0.3">
      <c r="B72" s="27"/>
      <c r="C72" s="17"/>
      <c r="D72" s="3">
        <v>6222</v>
      </c>
      <c r="E72" s="3" t="s">
        <v>228</v>
      </c>
      <c r="F72" s="35"/>
      <c r="G72" s="35"/>
      <c r="H72" s="35"/>
      <c r="I72" s="35"/>
      <c r="J72" s="35"/>
      <c r="K72" s="35"/>
      <c r="L72" s="35"/>
      <c r="M72" s="35">
        <f t="shared" si="33"/>
        <v>0</v>
      </c>
      <c r="N72" s="35" t="e">
        <f t="shared" si="34"/>
        <v>#DIV/0!</v>
      </c>
    </row>
    <row r="73" spans="2:14" x14ac:dyDescent="0.3">
      <c r="B73" s="27"/>
      <c r="C73" s="17"/>
      <c r="D73" s="3">
        <v>6223</v>
      </c>
      <c r="E73" s="3" t="s">
        <v>229</v>
      </c>
      <c r="F73" s="35"/>
      <c r="G73" s="35"/>
      <c r="H73" s="35"/>
      <c r="I73" s="35"/>
      <c r="J73" s="35"/>
      <c r="K73" s="35"/>
      <c r="L73" s="35"/>
      <c r="M73" s="35">
        <f t="shared" si="33"/>
        <v>0</v>
      </c>
      <c r="N73" s="35" t="e">
        <f t="shared" si="34"/>
        <v>#DIV/0!</v>
      </c>
    </row>
    <row r="74" spans="2:14" x14ac:dyDescent="0.3">
      <c r="B74" s="27"/>
      <c r="C74" s="17"/>
      <c r="D74" s="3">
        <v>6224</v>
      </c>
      <c r="E74" s="3" t="s">
        <v>230</v>
      </c>
      <c r="F74" s="35"/>
      <c r="G74" s="35"/>
      <c r="H74" s="35"/>
      <c r="I74" s="35"/>
      <c r="J74" s="35"/>
      <c r="K74" s="35"/>
      <c r="L74" s="35"/>
      <c r="M74" s="35">
        <f t="shared" si="33"/>
        <v>0</v>
      </c>
      <c r="N74" s="35" t="e">
        <f t="shared" si="34"/>
        <v>#DIV/0!</v>
      </c>
    </row>
    <row r="75" spans="2:14" x14ac:dyDescent="0.3">
      <c r="B75" s="27"/>
      <c r="C75" s="17"/>
      <c r="D75" s="3">
        <v>6225</v>
      </c>
      <c r="E75" s="3" t="s">
        <v>231</v>
      </c>
      <c r="F75" s="35"/>
      <c r="G75" s="35"/>
      <c r="H75" s="35"/>
      <c r="I75" s="35"/>
      <c r="J75" s="35"/>
      <c r="K75" s="35"/>
      <c r="L75" s="35"/>
      <c r="M75" s="35">
        <f t="shared" si="33"/>
        <v>0</v>
      </c>
      <c r="N75" s="35" t="e">
        <f t="shared" si="34"/>
        <v>#DIV/0!</v>
      </c>
    </row>
    <row r="76" spans="2:14" x14ac:dyDescent="0.3">
      <c r="B76" s="27"/>
      <c r="C76" s="17"/>
      <c r="D76" s="3">
        <v>6226</v>
      </c>
      <c r="E76" s="3" t="s">
        <v>232</v>
      </c>
      <c r="F76" s="35"/>
      <c r="G76" s="35"/>
      <c r="H76" s="35"/>
      <c r="I76" s="35"/>
      <c r="J76" s="35"/>
      <c r="K76" s="35"/>
      <c r="L76" s="35"/>
      <c r="M76" s="35">
        <f t="shared" si="33"/>
        <v>0</v>
      </c>
      <c r="N76" s="35" t="e">
        <f t="shared" si="34"/>
        <v>#DIV/0!</v>
      </c>
    </row>
    <row r="77" spans="2:14" s="10" customFormat="1" x14ac:dyDescent="0.3">
      <c r="B77" s="27"/>
      <c r="C77" s="17">
        <v>623</v>
      </c>
      <c r="D77" s="3"/>
      <c r="E77" s="17" t="s">
        <v>233</v>
      </c>
      <c r="F77" s="43">
        <f>SUM(F78:F82)</f>
        <v>0</v>
      </c>
      <c r="G77" s="43">
        <f t="shared" ref="G77:L77" si="35">SUM(G78:G82)</f>
        <v>0</v>
      </c>
      <c r="H77" s="43">
        <f t="shared" si="35"/>
        <v>0</v>
      </c>
      <c r="I77" s="43">
        <f t="shared" si="35"/>
        <v>0</v>
      </c>
      <c r="J77" s="43">
        <f t="shared" si="35"/>
        <v>0</v>
      </c>
      <c r="K77" s="43">
        <f t="shared" si="35"/>
        <v>0</v>
      </c>
      <c r="L77" s="43">
        <f t="shared" si="35"/>
        <v>0</v>
      </c>
      <c r="M77" s="35">
        <f t="shared" si="33"/>
        <v>0</v>
      </c>
      <c r="N77" s="43"/>
    </row>
    <row r="78" spans="2:14" x14ac:dyDescent="0.3">
      <c r="B78" s="27"/>
      <c r="C78" s="17"/>
      <c r="D78" s="3">
        <v>6231</v>
      </c>
      <c r="E78" s="3" t="s">
        <v>234</v>
      </c>
      <c r="F78" s="35"/>
      <c r="G78" s="35"/>
      <c r="H78" s="35"/>
      <c r="I78" s="35"/>
      <c r="J78" s="35"/>
      <c r="K78" s="35"/>
      <c r="L78" s="35"/>
      <c r="M78" s="35">
        <f t="shared" ref="M78:M83" si="36">K78-L78</f>
        <v>0</v>
      </c>
      <c r="N78" s="35" t="e">
        <f t="shared" ref="N78:N82" si="37">K78/I78</f>
        <v>#DIV/0!</v>
      </c>
    </row>
    <row r="79" spans="2:14" x14ac:dyDescent="0.3">
      <c r="B79" s="27"/>
      <c r="C79" s="17"/>
      <c r="D79" s="3">
        <v>6232</v>
      </c>
      <c r="E79" s="3" t="s">
        <v>235</v>
      </c>
      <c r="F79" s="35"/>
      <c r="G79" s="35"/>
      <c r="H79" s="35"/>
      <c r="I79" s="35"/>
      <c r="J79" s="35"/>
      <c r="K79" s="35"/>
      <c r="L79" s="35"/>
      <c r="M79" s="35">
        <f t="shared" si="36"/>
        <v>0</v>
      </c>
      <c r="N79" s="35" t="e">
        <f t="shared" si="37"/>
        <v>#DIV/0!</v>
      </c>
    </row>
    <row r="80" spans="2:14" x14ac:dyDescent="0.3">
      <c r="B80" s="27"/>
      <c r="C80" s="17"/>
      <c r="D80" s="3">
        <v>6233</v>
      </c>
      <c r="E80" s="3" t="s">
        <v>236</v>
      </c>
      <c r="F80" s="35"/>
      <c r="G80" s="35"/>
      <c r="H80" s="35"/>
      <c r="I80" s="35"/>
      <c r="J80" s="35"/>
      <c r="K80" s="35"/>
      <c r="L80" s="35"/>
      <c r="M80" s="35">
        <f t="shared" si="36"/>
        <v>0</v>
      </c>
      <c r="N80" s="35" t="e">
        <f t="shared" si="37"/>
        <v>#DIV/0!</v>
      </c>
    </row>
    <row r="81" spans="2:14" x14ac:dyDescent="0.3">
      <c r="B81" s="27"/>
      <c r="C81" s="17"/>
      <c r="D81" s="3">
        <v>6234</v>
      </c>
      <c r="E81" s="3" t="s">
        <v>237</v>
      </c>
      <c r="F81" s="35"/>
      <c r="G81" s="35"/>
      <c r="H81" s="35"/>
      <c r="I81" s="35"/>
      <c r="J81" s="35"/>
      <c r="K81" s="35"/>
      <c r="L81" s="35"/>
      <c r="M81" s="35">
        <f t="shared" si="36"/>
        <v>0</v>
      </c>
      <c r="N81" s="35" t="e">
        <f t="shared" si="37"/>
        <v>#DIV/0!</v>
      </c>
    </row>
    <row r="82" spans="2:14" x14ac:dyDescent="0.3">
      <c r="B82" s="27"/>
      <c r="C82" s="17"/>
      <c r="D82" s="3">
        <v>6235</v>
      </c>
      <c r="E82" s="3" t="s">
        <v>238</v>
      </c>
      <c r="F82" s="35"/>
      <c r="G82" s="35"/>
      <c r="H82" s="35"/>
      <c r="I82" s="35"/>
      <c r="J82" s="35"/>
      <c r="K82" s="35"/>
      <c r="L82" s="35"/>
      <c r="M82" s="35">
        <f t="shared" si="36"/>
        <v>0</v>
      </c>
      <c r="N82" s="35" t="e">
        <f t="shared" si="37"/>
        <v>#DIV/0!</v>
      </c>
    </row>
    <row r="83" spans="2:14" s="10" customFormat="1" x14ac:dyDescent="0.3">
      <c r="B83" s="27"/>
      <c r="C83" s="17">
        <v>624</v>
      </c>
      <c r="D83" s="3"/>
      <c r="E83" s="17" t="s">
        <v>239</v>
      </c>
      <c r="F83" s="43">
        <f>SUM(F84:F86)</f>
        <v>0</v>
      </c>
      <c r="G83" s="43">
        <f t="shared" ref="G83:L83" si="38">SUM(G84:G86)</f>
        <v>0</v>
      </c>
      <c r="H83" s="43">
        <f t="shared" si="38"/>
        <v>0</v>
      </c>
      <c r="I83" s="43">
        <f t="shared" si="38"/>
        <v>0</v>
      </c>
      <c r="J83" s="43">
        <f t="shared" si="38"/>
        <v>0</v>
      </c>
      <c r="K83" s="43">
        <f t="shared" si="38"/>
        <v>0</v>
      </c>
      <c r="L83" s="43">
        <f t="shared" si="38"/>
        <v>0</v>
      </c>
      <c r="M83" s="35">
        <f t="shared" si="36"/>
        <v>0</v>
      </c>
      <c r="N83" s="43"/>
    </row>
    <row r="84" spans="2:14" x14ac:dyDescent="0.3">
      <c r="B84" s="27"/>
      <c r="C84" s="17"/>
      <c r="D84" s="3">
        <v>6241</v>
      </c>
      <c r="E84" s="3" t="s">
        <v>240</v>
      </c>
      <c r="F84" s="35"/>
      <c r="G84" s="35"/>
      <c r="H84" s="35"/>
      <c r="I84" s="35"/>
      <c r="J84" s="35"/>
      <c r="K84" s="35"/>
      <c r="L84" s="35"/>
      <c r="M84" s="35">
        <f t="shared" ref="M84:M87" si="39">K84-L84</f>
        <v>0</v>
      </c>
      <c r="N84" s="35" t="e">
        <f t="shared" ref="N84:N86" si="40">K84/I84</f>
        <v>#DIV/0!</v>
      </c>
    </row>
    <row r="85" spans="2:14" x14ac:dyDescent="0.3">
      <c r="B85" s="27"/>
      <c r="C85" s="17"/>
      <c r="D85" s="3">
        <v>6242</v>
      </c>
      <c r="E85" s="3" t="s">
        <v>241</v>
      </c>
      <c r="F85" s="35"/>
      <c r="G85" s="35"/>
      <c r="H85" s="35"/>
      <c r="I85" s="35"/>
      <c r="J85" s="35"/>
      <c r="K85" s="35"/>
      <c r="L85" s="35"/>
      <c r="M85" s="35">
        <f t="shared" si="39"/>
        <v>0</v>
      </c>
      <c r="N85" s="35" t="e">
        <f t="shared" si="40"/>
        <v>#DIV/0!</v>
      </c>
    </row>
    <row r="86" spans="2:14" x14ac:dyDescent="0.3">
      <c r="B86" s="27"/>
      <c r="C86" s="17"/>
      <c r="D86" s="3">
        <v>6243</v>
      </c>
      <c r="E86" s="3" t="s">
        <v>242</v>
      </c>
      <c r="F86" s="35"/>
      <c r="G86" s="35"/>
      <c r="H86" s="35"/>
      <c r="I86" s="35"/>
      <c r="J86" s="35"/>
      <c r="K86" s="35"/>
      <c r="L86" s="35"/>
      <c r="M86" s="35">
        <f t="shared" si="39"/>
        <v>0</v>
      </c>
      <c r="N86" s="35" t="e">
        <f t="shared" si="40"/>
        <v>#DIV/0!</v>
      </c>
    </row>
    <row r="87" spans="2:14" s="10" customFormat="1" x14ac:dyDescent="0.3">
      <c r="B87" s="27"/>
      <c r="C87" s="27">
        <v>625</v>
      </c>
      <c r="D87" s="3"/>
      <c r="E87" s="17" t="s">
        <v>244</v>
      </c>
      <c r="F87" s="43">
        <f>SUM(F88)</f>
        <v>0</v>
      </c>
      <c r="G87" s="43">
        <f t="shared" ref="G87:L87" si="41">SUM(G88)</f>
        <v>0</v>
      </c>
      <c r="H87" s="43">
        <f t="shared" si="41"/>
        <v>0</v>
      </c>
      <c r="I87" s="43">
        <f t="shared" si="41"/>
        <v>0</v>
      </c>
      <c r="J87" s="43">
        <f t="shared" si="41"/>
        <v>0</v>
      </c>
      <c r="K87" s="43">
        <f t="shared" si="41"/>
        <v>0</v>
      </c>
      <c r="L87" s="43">
        <f t="shared" si="41"/>
        <v>0</v>
      </c>
      <c r="M87" s="35">
        <f t="shared" si="39"/>
        <v>0</v>
      </c>
      <c r="N87" s="43"/>
    </row>
    <row r="88" spans="2:14" x14ac:dyDescent="0.3">
      <c r="B88" s="27"/>
      <c r="C88" s="17"/>
      <c r="D88" s="3">
        <v>6250</v>
      </c>
      <c r="E88" s="3" t="s">
        <v>243</v>
      </c>
      <c r="F88" s="35"/>
      <c r="G88" s="35"/>
      <c r="H88" s="35"/>
      <c r="I88" s="35"/>
      <c r="J88" s="35"/>
      <c r="K88" s="35"/>
      <c r="L88" s="35"/>
      <c r="M88" s="35">
        <f>K88-L88</f>
        <v>0</v>
      </c>
      <c r="N88" s="35" t="e">
        <f t="shared" ref="N88" si="42">K88/I88</f>
        <v>#DIV/0!</v>
      </c>
    </row>
    <row r="89" spans="2:14" s="10" customFormat="1" x14ac:dyDescent="0.3">
      <c r="B89" s="27"/>
      <c r="C89" s="27">
        <v>626</v>
      </c>
      <c r="D89" s="3"/>
      <c r="E89" s="17" t="s">
        <v>245</v>
      </c>
      <c r="F89" s="43">
        <f>SUM(F90:F95)</f>
        <v>0</v>
      </c>
      <c r="G89" s="43">
        <f t="shared" ref="G89:L89" si="43">SUM(G90:G95)</f>
        <v>0</v>
      </c>
      <c r="H89" s="43">
        <f t="shared" si="43"/>
        <v>0</v>
      </c>
      <c r="I89" s="43">
        <f t="shared" si="43"/>
        <v>0</v>
      </c>
      <c r="J89" s="43">
        <f t="shared" si="43"/>
        <v>0</v>
      </c>
      <c r="K89" s="43">
        <f t="shared" si="43"/>
        <v>0</v>
      </c>
      <c r="L89" s="43">
        <f t="shared" si="43"/>
        <v>0</v>
      </c>
      <c r="M89" s="35">
        <f t="shared" ref="M89" si="44">K89-L89</f>
        <v>0</v>
      </c>
      <c r="N89" s="43"/>
    </row>
    <row r="90" spans="2:14" x14ac:dyDescent="0.3">
      <c r="B90" s="27"/>
      <c r="C90" s="17"/>
      <c r="D90" s="3">
        <v>6261</v>
      </c>
      <c r="E90" s="3" t="s">
        <v>246</v>
      </c>
      <c r="F90" s="35"/>
      <c r="G90" s="35"/>
      <c r="H90" s="35"/>
      <c r="I90" s="35"/>
      <c r="J90" s="35"/>
      <c r="K90" s="35"/>
      <c r="L90" s="35"/>
      <c r="M90" s="35">
        <f t="shared" ref="M90:M96" si="45">K90-L90</f>
        <v>0</v>
      </c>
      <c r="N90" s="35" t="e">
        <f t="shared" ref="N90:N95" si="46">K90/I90</f>
        <v>#DIV/0!</v>
      </c>
    </row>
    <row r="91" spans="2:14" x14ac:dyDescent="0.3">
      <c r="B91" s="27"/>
      <c r="C91" s="17"/>
      <c r="D91" s="3">
        <v>6262</v>
      </c>
      <c r="E91" s="3" t="s">
        <v>247</v>
      </c>
      <c r="F91" s="35"/>
      <c r="G91" s="35"/>
      <c r="H91" s="35"/>
      <c r="I91" s="35"/>
      <c r="J91" s="35"/>
      <c r="K91" s="35"/>
      <c r="L91" s="35"/>
      <c r="M91" s="35">
        <f t="shared" si="45"/>
        <v>0</v>
      </c>
      <c r="N91" s="35" t="e">
        <f t="shared" si="46"/>
        <v>#DIV/0!</v>
      </c>
    </row>
    <row r="92" spans="2:14" x14ac:dyDescent="0.3">
      <c r="B92" s="27"/>
      <c r="C92" s="17"/>
      <c r="D92" s="3">
        <v>6263</v>
      </c>
      <c r="E92" s="3" t="s">
        <v>248</v>
      </c>
      <c r="F92" s="35"/>
      <c r="G92" s="35"/>
      <c r="H92" s="35"/>
      <c r="I92" s="35"/>
      <c r="J92" s="35"/>
      <c r="K92" s="35"/>
      <c r="L92" s="35"/>
      <c r="M92" s="35">
        <f t="shared" si="45"/>
        <v>0</v>
      </c>
      <c r="N92" s="35" t="e">
        <f t="shared" si="46"/>
        <v>#DIV/0!</v>
      </c>
    </row>
    <row r="93" spans="2:14" x14ac:dyDescent="0.3">
      <c r="B93" s="27"/>
      <c r="C93" s="17"/>
      <c r="D93" s="3">
        <v>6264</v>
      </c>
      <c r="E93" s="3" t="s">
        <v>249</v>
      </c>
      <c r="F93" s="35"/>
      <c r="G93" s="35"/>
      <c r="H93" s="35"/>
      <c r="I93" s="35"/>
      <c r="J93" s="35"/>
      <c r="K93" s="35"/>
      <c r="L93" s="35"/>
      <c r="M93" s="35">
        <f t="shared" si="45"/>
        <v>0</v>
      </c>
      <c r="N93" s="35" t="e">
        <f t="shared" si="46"/>
        <v>#DIV/0!</v>
      </c>
    </row>
    <row r="94" spans="2:14" x14ac:dyDescent="0.3">
      <c r="B94" s="27"/>
      <c r="C94" s="17"/>
      <c r="D94" s="3">
        <v>6265</v>
      </c>
      <c r="E94" s="3" t="s">
        <v>250</v>
      </c>
      <c r="F94" s="35"/>
      <c r="G94" s="35"/>
      <c r="H94" s="35"/>
      <c r="I94" s="35"/>
      <c r="J94" s="35"/>
      <c r="K94" s="35"/>
      <c r="L94" s="35"/>
      <c r="M94" s="35">
        <f t="shared" si="45"/>
        <v>0</v>
      </c>
      <c r="N94" s="35" t="e">
        <f t="shared" si="46"/>
        <v>#DIV/0!</v>
      </c>
    </row>
    <row r="95" spans="2:14" x14ac:dyDescent="0.3">
      <c r="B95" s="27"/>
      <c r="C95" s="17"/>
      <c r="D95" s="3">
        <v>6268</v>
      </c>
      <c r="E95" s="3" t="s">
        <v>95</v>
      </c>
      <c r="F95" s="35"/>
      <c r="G95" s="35"/>
      <c r="H95" s="35"/>
      <c r="I95" s="35"/>
      <c r="J95" s="35"/>
      <c r="K95" s="35"/>
      <c r="L95" s="35"/>
      <c r="M95" s="35">
        <f t="shared" si="45"/>
        <v>0</v>
      </c>
      <c r="N95" s="35" t="e">
        <f t="shared" si="46"/>
        <v>#DIV/0!</v>
      </c>
    </row>
    <row r="96" spans="2:14" s="10" customFormat="1" x14ac:dyDescent="0.3">
      <c r="B96" s="27"/>
      <c r="C96" s="17">
        <v>627</v>
      </c>
      <c r="D96" s="3"/>
      <c r="E96" s="17" t="s">
        <v>251</v>
      </c>
      <c r="F96" s="43">
        <f>SUM(F97:F102)</f>
        <v>0</v>
      </c>
      <c r="G96" s="43">
        <f t="shared" ref="G96:L96" si="47">SUM(G97:G102)</f>
        <v>0</v>
      </c>
      <c r="H96" s="43">
        <f t="shared" si="47"/>
        <v>0</v>
      </c>
      <c r="I96" s="43">
        <f t="shared" si="47"/>
        <v>0</v>
      </c>
      <c r="J96" s="43">
        <f t="shared" si="47"/>
        <v>0</v>
      </c>
      <c r="K96" s="43">
        <f t="shared" si="47"/>
        <v>0</v>
      </c>
      <c r="L96" s="43">
        <f t="shared" si="47"/>
        <v>0</v>
      </c>
      <c r="M96" s="35">
        <f t="shared" si="45"/>
        <v>0</v>
      </c>
      <c r="N96" s="43"/>
    </row>
    <row r="97" spans="2:14" x14ac:dyDescent="0.3">
      <c r="B97" s="27"/>
      <c r="C97" s="17"/>
      <c r="D97" s="3">
        <v>6271</v>
      </c>
      <c r="E97" s="3" t="s">
        <v>252</v>
      </c>
      <c r="F97" s="35"/>
      <c r="G97" s="35"/>
      <c r="H97" s="35"/>
      <c r="I97" s="35"/>
      <c r="J97" s="35"/>
      <c r="K97" s="35"/>
      <c r="L97" s="35"/>
      <c r="M97" s="35">
        <f t="shared" ref="M97:M103" si="48">K97-L97</f>
        <v>0</v>
      </c>
      <c r="N97" s="35" t="e">
        <f t="shared" ref="N97:N102" si="49">K97/I97</f>
        <v>#DIV/0!</v>
      </c>
    </row>
    <row r="98" spans="2:14" x14ac:dyDescent="0.3">
      <c r="B98" s="27"/>
      <c r="C98" s="17"/>
      <c r="D98" s="3">
        <v>6272</v>
      </c>
      <c r="E98" s="3" t="s">
        <v>253</v>
      </c>
      <c r="F98" s="35"/>
      <c r="G98" s="35"/>
      <c r="H98" s="35"/>
      <c r="I98" s="35"/>
      <c r="J98" s="35"/>
      <c r="K98" s="35"/>
      <c r="L98" s="35"/>
      <c r="M98" s="35">
        <f t="shared" si="48"/>
        <v>0</v>
      </c>
      <c r="N98" s="35" t="e">
        <f t="shared" si="49"/>
        <v>#DIV/0!</v>
      </c>
    </row>
    <row r="99" spans="2:14" x14ac:dyDescent="0.3">
      <c r="B99" s="27"/>
      <c r="C99" s="17"/>
      <c r="D99" s="3">
        <v>6273</v>
      </c>
      <c r="E99" s="3" t="s">
        <v>254</v>
      </c>
      <c r="F99" s="35"/>
      <c r="G99" s="35"/>
      <c r="H99" s="35"/>
      <c r="I99" s="35"/>
      <c r="J99" s="35"/>
      <c r="K99" s="35"/>
      <c r="L99" s="35"/>
      <c r="M99" s="35">
        <f t="shared" si="48"/>
        <v>0</v>
      </c>
      <c r="N99" s="35" t="e">
        <f t="shared" si="49"/>
        <v>#DIV/0!</v>
      </c>
    </row>
    <row r="100" spans="2:14" x14ac:dyDescent="0.3">
      <c r="B100" s="27"/>
      <c r="C100" s="17"/>
      <c r="D100" s="3">
        <v>6274</v>
      </c>
      <c r="E100" s="3" t="s">
        <v>255</v>
      </c>
      <c r="F100" s="35"/>
      <c r="G100" s="35"/>
      <c r="H100" s="35"/>
      <c r="I100" s="35"/>
      <c r="J100" s="35"/>
      <c r="K100" s="35"/>
      <c r="L100" s="35"/>
      <c r="M100" s="35">
        <f t="shared" si="48"/>
        <v>0</v>
      </c>
      <c r="N100" s="35" t="e">
        <f t="shared" si="49"/>
        <v>#DIV/0!</v>
      </c>
    </row>
    <row r="101" spans="2:14" x14ac:dyDescent="0.3">
      <c r="B101" s="27"/>
      <c r="C101" s="17"/>
      <c r="D101" s="3">
        <v>6275</v>
      </c>
      <c r="E101" s="3" t="s">
        <v>256</v>
      </c>
      <c r="F101" s="35"/>
      <c r="G101" s="35"/>
      <c r="H101" s="35"/>
      <c r="I101" s="35"/>
      <c r="J101" s="35"/>
      <c r="K101" s="35"/>
      <c r="L101" s="35"/>
      <c r="M101" s="35">
        <f t="shared" si="48"/>
        <v>0</v>
      </c>
      <c r="N101" s="35" t="e">
        <f t="shared" si="49"/>
        <v>#DIV/0!</v>
      </c>
    </row>
    <row r="102" spans="2:14" x14ac:dyDescent="0.3">
      <c r="B102" s="27"/>
      <c r="C102" s="17"/>
      <c r="D102" s="3">
        <v>6278</v>
      </c>
      <c r="E102" s="3" t="s">
        <v>257</v>
      </c>
      <c r="F102" s="35"/>
      <c r="G102" s="35"/>
      <c r="H102" s="35"/>
      <c r="I102" s="35"/>
      <c r="J102" s="35"/>
      <c r="K102" s="35"/>
      <c r="L102" s="35"/>
      <c r="M102" s="35">
        <f t="shared" si="48"/>
        <v>0</v>
      </c>
      <c r="N102" s="35" t="e">
        <f t="shared" si="49"/>
        <v>#DIV/0!</v>
      </c>
    </row>
    <row r="103" spans="2:14" s="10" customFormat="1" x14ac:dyDescent="0.3">
      <c r="B103" s="27"/>
      <c r="C103" s="17">
        <v>628</v>
      </c>
      <c r="D103" s="3"/>
      <c r="E103" s="17" t="s">
        <v>258</v>
      </c>
      <c r="F103" s="43">
        <f>SUM(F104:F111)</f>
        <v>0</v>
      </c>
      <c r="G103" s="43">
        <f t="shared" ref="G103:L103" si="50">SUM(G104:G111)</f>
        <v>0</v>
      </c>
      <c r="H103" s="43">
        <f t="shared" si="50"/>
        <v>0</v>
      </c>
      <c r="I103" s="43">
        <f t="shared" si="50"/>
        <v>0</v>
      </c>
      <c r="J103" s="43">
        <f t="shared" si="50"/>
        <v>0</v>
      </c>
      <c r="K103" s="43">
        <f t="shared" si="50"/>
        <v>0</v>
      </c>
      <c r="L103" s="43">
        <f t="shared" si="50"/>
        <v>0</v>
      </c>
      <c r="M103" s="35">
        <f t="shared" si="48"/>
        <v>0</v>
      </c>
      <c r="N103" s="43"/>
    </row>
    <row r="104" spans="2:14" x14ac:dyDescent="0.3">
      <c r="B104" s="27"/>
      <c r="C104" s="17"/>
      <c r="D104" s="3">
        <v>6281</v>
      </c>
      <c r="E104" s="3" t="s">
        <v>259</v>
      </c>
      <c r="F104" s="35"/>
      <c r="G104" s="35"/>
      <c r="H104" s="35"/>
      <c r="I104" s="35"/>
      <c r="J104" s="35"/>
      <c r="K104" s="35"/>
      <c r="L104" s="35"/>
      <c r="M104" s="35">
        <f t="shared" ref="M104:M111" si="51">K104-L104</f>
        <v>0</v>
      </c>
      <c r="N104" s="35" t="e">
        <f t="shared" ref="N104:N111" si="52">K104/I104</f>
        <v>#DIV/0!</v>
      </c>
    </row>
    <row r="105" spans="2:14" x14ac:dyDescent="0.3">
      <c r="B105" s="27"/>
      <c r="C105" s="17"/>
      <c r="D105" s="3">
        <v>6282</v>
      </c>
      <c r="E105" s="3" t="s">
        <v>260</v>
      </c>
      <c r="F105" s="35"/>
      <c r="G105" s="35"/>
      <c r="H105" s="35"/>
      <c r="I105" s="35"/>
      <c r="J105" s="35"/>
      <c r="K105" s="35"/>
      <c r="L105" s="35"/>
      <c r="M105" s="35">
        <f t="shared" si="51"/>
        <v>0</v>
      </c>
      <c r="N105" s="35" t="e">
        <f t="shared" si="52"/>
        <v>#DIV/0!</v>
      </c>
    </row>
    <row r="106" spans="2:14" x14ac:dyDescent="0.3">
      <c r="B106" s="27"/>
      <c r="C106" s="17"/>
      <c r="D106" s="3">
        <v>6283</v>
      </c>
      <c r="E106" s="3" t="s">
        <v>261</v>
      </c>
      <c r="F106" s="35"/>
      <c r="G106" s="35"/>
      <c r="H106" s="35"/>
      <c r="I106" s="35"/>
      <c r="J106" s="35"/>
      <c r="K106" s="35"/>
      <c r="L106" s="35"/>
      <c r="M106" s="35">
        <f t="shared" si="51"/>
        <v>0</v>
      </c>
      <c r="N106" s="35" t="e">
        <f t="shared" si="52"/>
        <v>#DIV/0!</v>
      </c>
    </row>
    <row r="107" spans="2:14" x14ac:dyDescent="0.3">
      <c r="B107" s="27"/>
      <c r="C107" s="17"/>
      <c r="D107" s="3">
        <v>6284</v>
      </c>
      <c r="E107" s="3" t="s">
        <v>262</v>
      </c>
      <c r="F107" s="35"/>
      <c r="G107" s="35"/>
      <c r="H107" s="35"/>
      <c r="I107" s="35"/>
      <c r="J107" s="35"/>
      <c r="K107" s="35"/>
      <c r="L107" s="35"/>
      <c r="M107" s="35">
        <f t="shared" si="51"/>
        <v>0</v>
      </c>
      <c r="N107" s="35" t="e">
        <f t="shared" si="52"/>
        <v>#DIV/0!</v>
      </c>
    </row>
    <row r="108" spans="2:14" x14ac:dyDescent="0.3">
      <c r="B108" s="27"/>
      <c r="C108" s="17"/>
      <c r="D108" s="3">
        <v>6285</v>
      </c>
      <c r="E108" s="3" t="s">
        <v>263</v>
      </c>
      <c r="F108" s="35"/>
      <c r="G108" s="35"/>
      <c r="H108" s="35"/>
      <c r="I108" s="35"/>
      <c r="J108" s="35"/>
      <c r="K108" s="35"/>
      <c r="L108" s="35"/>
      <c r="M108" s="35">
        <f t="shared" si="51"/>
        <v>0</v>
      </c>
      <c r="N108" s="35" t="e">
        <f t="shared" si="52"/>
        <v>#DIV/0!</v>
      </c>
    </row>
    <row r="109" spans="2:14" x14ac:dyDescent="0.3">
      <c r="B109" s="27"/>
      <c r="C109" s="17"/>
      <c r="D109" s="3">
        <v>6286</v>
      </c>
      <c r="E109" s="3" t="s">
        <v>264</v>
      </c>
      <c r="F109" s="35"/>
      <c r="G109" s="35"/>
      <c r="H109" s="35"/>
      <c r="I109" s="35"/>
      <c r="J109" s="35"/>
      <c r="K109" s="35"/>
      <c r="L109" s="35"/>
      <c r="M109" s="35">
        <f t="shared" si="51"/>
        <v>0</v>
      </c>
      <c r="N109" s="35" t="e">
        <f t="shared" si="52"/>
        <v>#DIV/0!</v>
      </c>
    </row>
    <row r="110" spans="2:14" x14ac:dyDescent="0.3">
      <c r="B110" s="27"/>
      <c r="C110" s="17"/>
      <c r="D110" s="3">
        <v>6287</v>
      </c>
      <c r="E110" s="3" t="s">
        <v>265</v>
      </c>
      <c r="F110" s="35"/>
      <c r="G110" s="35"/>
      <c r="H110" s="35"/>
      <c r="I110" s="35"/>
      <c r="J110" s="35"/>
      <c r="K110" s="35"/>
      <c r="L110" s="35"/>
      <c r="M110" s="35">
        <f t="shared" si="51"/>
        <v>0</v>
      </c>
      <c r="N110" s="35" t="e">
        <f t="shared" si="52"/>
        <v>#DIV/0!</v>
      </c>
    </row>
    <row r="111" spans="2:14" x14ac:dyDescent="0.3">
      <c r="B111" s="27"/>
      <c r="C111" s="17"/>
      <c r="D111" s="3">
        <v>6288</v>
      </c>
      <c r="E111" s="3" t="s">
        <v>266</v>
      </c>
      <c r="F111" s="35"/>
      <c r="G111" s="35"/>
      <c r="H111" s="35"/>
      <c r="I111" s="35"/>
      <c r="J111" s="35"/>
      <c r="K111" s="35"/>
      <c r="L111" s="35"/>
      <c r="M111" s="35">
        <f t="shared" si="51"/>
        <v>0</v>
      </c>
      <c r="N111" s="35" t="e">
        <f t="shared" si="52"/>
        <v>#DIV/0!</v>
      </c>
    </row>
    <row r="112" spans="2:14" s="10" customFormat="1" ht="30" customHeight="1" x14ac:dyDescent="0.3">
      <c r="B112" s="27">
        <v>63</v>
      </c>
      <c r="C112" s="17"/>
      <c r="D112" s="17"/>
      <c r="E112" s="17" t="s">
        <v>156</v>
      </c>
      <c r="F112" s="43">
        <f>SUM(F113,F115,F117,F119)</f>
        <v>0</v>
      </c>
      <c r="G112" s="43">
        <f t="shared" ref="G112:M112" si="53">SUM(G113,G115,G117,G119)</f>
        <v>0</v>
      </c>
      <c r="H112" s="43">
        <f t="shared" si="53"/>
        <v>0</v>
      </c>
      <c r="I112" s="43">
        <f t="shared" si="53"/>
        <v>0</v>
      </c>
      <c r="J112" s="43">
        <f t="shared" si="53"/>
        <v>0</v>
      </c>
      <c r="K112" s="43">
        <f t="shared" si="53"/>
        <v>0</v>
      </c>
      <c r="L112" s="43">
        <f t="shared" si="53"/>
        <v>0</v>
      </c>
      <c r="M112" s="43">
        <f t="shared" si="53"/>
        <v>0</v>
      </c>
      <c r="N112" s="43" t="e">
        <f>K112/I112</f>
        <v>#DIV/0!</v>
      </c>
    </row>
    <row r="113" spans="2:14" s="10" customFormat="1" x14ac:dyDescent="0.3">
      <c r="B113" s="27"/>
      <c r="C113" s="17">
        <v>631</v>
      </c>
      <c r="D113" s="3"/>
      <c r="E113" s="17" t="s">
        <v>267</v>
      </c>
      <c r="F113" s="43">
        <f>SUM(F114)</f>
        <v>0</v>
      </c>
      <c r="G113" s="43">
        <f t="shared" ref="G113:L113" si="54">SUM(G114)</f>
        <v>0</v>
      </c>
      <c r="H113" s="43">
        <f t="shared" si="54"/>
        <v>0</v>
      </c>
      <c r="I113" s="43">
        <f t="shared" si="54"/>
        <v>0</v>
      </c>
      <c r="J113" s="43">
        <f t="shared" si="54"/>
        <v>0</v>
      </c>
      <c r="K113" s="43">
        <f t="shared" si="54"/>
        <v>0</v>
      </c>
      <c r="L113" s="43">
        <f t="shared" si="54"/>
        <v>0</v>
      </c>
      <c r="M113" s="35">
        <f t="shared" ref="M113:M120" si="55">K113-L113</f>
        <v>0</v>
      </c>
      <c r="N113" s="43"/>
    </row>
    <row r="114" spans="2:14" x14ac:dyDescent="0.3">
      <c r="B114" s="27"/>
      <c r="C114" s="17"/>
      <c r="D114" s="3">
        <v>6310</v>
      </c>
      <c r="E114" s="3" t="s">
        <v>267</v>
      </c>
      <c r="F114" s="35"/>
      <c r="G114" s="35"/>
      <c r="H114" s="35"/>
      <c r="I114" s="35"/>
      <c r="J114" s="35"/>
      <c r="K114" s="35"/>
      <c r="L114" s="35"/>
      <c r="M114" s="35">
        <f t="shared" si="55"/>
        <v>0</v>
      </c>
      <c r="N114" s="35" t="e">
        <f t="shared" ref="N114" si="56">K114/I114</f>
        <v>#DIV/0!</v>
      </c>
    </row>
    <row r="115" spans="2:14" s="10" customFormat="1" x14ac:dyDescent="0.3">
      <c r="B115" s="27"/>
      <c r="C115" s="17">
        <v>632</v>
      </c>
      <c r="D115" s="3"/>
      <c r="E115" s="17" t="s">
        <v>268</v>
      </c>
      <c r="F115" s="43">
        <f>SUM(F116)</f>
        <v>0</v>
      </c>
      <c r="G115" s="43">
        <f t="shared" ref="G115:L115" si="57">SUM(G116)</f>
        <v>0</v>
      </c>
      <c r="H115" s="43">
        <f t="shared" si="57"/>
        <v>0</v>
      </c>
      <c r="I115" s="43">
        <f t="shared" si="57"/>
        <v>0</v>
      </c>
      <c r="J115" s="43">
        <f t="shared" si="57"/>
        <v>0</v>
      </c>
      <c r="K115" s="43">
        <f t="shared" si="57"/>
        <v>0</v>
      </c>
      <c r="L115" s="43">
        <f t="shared" si="57"/>
        <v>0</v>
      </c>
      <c r="M115" s="35">
        <f t="shared" si="55"/>
        <v>0</v>
      </c>
      <c r="N115" s="43"/>
    </row>
    <row r="116" spans="2:14" x14ac:dyDescent="0.3">
      <c r="B116" s="27"/>
      <c r="C116" s="17"/>
      <c r="D116" s="3">
        <v>6320</v>
      </c>
      <c r="E116" s="3" t="s">
        <v>268</v>
      </c>
      <c r="F116" s="35"/>
      <c r="G116" s="35"/>
      <c r="H116" s="35"/>
      <c r="I116" s="35"/>
      <c r="J116" s="35"/>
      <c r="K116" s="35"/>
      <c r="L116" s="35"/>
      <c r="M116" s="35">
        <f t="shared" si="55"/>
        <v>0</v>
      </c>
      <c r="N116" s="35" t="e">
        <f t="shared" ref="N116" si="58">K116/I116</f>
        <v>#DIV/0!</v>
      </c>
    </row>
    <row r="117" spans="2:14" s="10" customFormat="1" x14ac:dyDescent="0.3">
      <c r="B117" s="27"/>
      <c r="C117" s="17">
        <v>633</v>
      </c>
      <c r="D117" s="3"/>
      <c r="E117" s="17" t="s">
        <v>269</v>
      </c>
      <c r="F117" s="43">
        <f>SUM(F118)</f>
        <v>0</v>
      </c>
      <c r="G117" s="43">
        <f t="shared" ref="G117:L117" si="59">SUM(G118)</f>
        <v>0</v>
      </c>
      <c r="H117" s="43">
        <f t="shared" si="59"/>
        <v>0</v>
      </c>
      <c r="I117" s="43">
        <f t="shared" si="59"/>
        <v>0</v>
      </c>
      <c r="J117" s="43">
        <f t="shared" si="59"/>
        <v>0</v>
      </c>
      <c r="K117" s="43">
        <f t="shared" si="59"/>
        <v>0</v>
      </c>
      <c r="L117" s="43">
        <f t="shared" si="59"/>
        <v>0</v>
      </c>
      <c r="M117" s="35">
        <f t="shared" si="55"/>
        <v>0</v>
      </c>
      <c r="N117" s="43"/>
    </row>
    <row r="118" spans="2:14" x14ac:dyDescent="0.3">
      <c r="B118" s="27"/>
      <c r="C118" s="17"/>
      <c r="D118" s="3">
        <v>6330</v>
      </c>
      <c r="E118" s="3" t="s">
        <v>269</v>
      </c>
      <c r="F118" s="35"/>
      <c r="G118" s="35"/>
      <c r="H118" s="35"/>
      <c r="I118" s="35"/>
      <c r="J118" s="35"/>
      <c r="K118" s="35"/>
      <c r="L118" s="35"/>
      <c r="M118" s="35">
        <f t="shared" si="55"/>
        <v>0</v>
      </c>
      <c r="N118" s="35" t="e">
        <f t="shared" ref="N118" si="60">K118/I118</f>
        <v>#DIV/0!</v>
      </c>
    </row>
    <row r="119" spans="2:14" s="10" customFormat="1" x14ac:dyDescent="0.3">
      <c r="B119" s="27"/>
      <c r="C119" s="17">
        <v>638</v>
      </c>
      <c r="D119" s="3"/>
      <c r="E119" s="17" t="s">
        <v>270</v>
      </c>
      <c r="F119" s="43">
        <f>SUM(F120)</f>
        <v>0</v>
      </c>
      <c r="G119" s="43">
        <f t="shared" ref="G119:L119" si="61">SUM(G120)</f>
        <v>0</v>
      </c>
      <c r="H119" s="43">
        <f t="shared" si="61"/>
        <v>0</v>
      </c>
      <c r="I119" s="43">
        <f t="shared" si="61"/>
        <v>0</v>
      </c>
      <c r="J119" s="43">
        <f t="shared" si="61"/>
        <v>0</v>
      </c>
      <c r="K119" s="43">
        <f t="shared" si="61"/>
        <v>0</v>
      </c>
      <c r="L119" s="43">
        <f t="shared" si="61"/>
        <v>0</v>
      </c>
      <c r="M119" s="35">
        <f t="shared" si="55"/>
        <v>0</v>
      </c>
      <c r="N119" s="43"/>
    </row>
    <row r="120" spans="2:14" x14ac:dyDescent="0.3">
      <c r="B120" s="27"/>
      <c r="C120" s="17"/>
      <c r="D120" s="3">
        <v>6380</v>
      </c>
      <c r="E120" s="3" t="s">
        <v>270</v>
      </c>
      <c r="F120" s="35"/>
      <c r="G120" s="35"/>
      <c r="H120" s="35"/>
      <c r="I120" s="35"/>
      <c r="J120" s="35"/>
      <c r="K120" s="35"/>
      <c r="L120" s="35"/>
      <c r="M120" s="35">
        <f t="shared" si="55"/>
        <v>0</v>
      </c>
      <c r="N120" s="35" t="e">
        <f t="shared" ref="N120" si="62">K120/I120</f>
        <v>#DIV/0!</v>
      </c>
    </row>
    <row r="121" spans="2:14" s="10" customFormat="1" ht="30" customHeight="1" x14ac:dyDescent="0.3">
      <c r="B121" s="27">
        <v>64</v>
      </c>
      <c r="C121" s="17"/>
      <c r="D121" s="17"/>
      <c r="E121" s="17" t="s">
        <v>157</v>
      </c>
      <c r="F121" s="43">
        <f>SUM(F122,F124,F126,F128,F130)</f>
        <v>0</v>
      </c>
      <c r="G121" s="43">
        <f t="shared" ref="G121:M121" si="63">SUM(G122,G124,G126,G128,G130)</f>
        <v>0</v>
      </c>
      <c r="H121" s="43">
        <f t="shared" si="63"/>
        <v>0</v>
      </c>
      <c r="I121" s="43">
        <f t="shared" si="63"/>
        <v>0</v>
      </c>
      <c r="J121" s="43">
        <f t="shared" si="63"/>
        <v>0</v>
      </c>
      <c r="K121" s="43">
        <f t="shared" si="63"/>
        <v>0</v>
      </c>
      <c r="L121" s="43">
        <f t="shared" si="63"/>
        <v>0</v>
      </c>
      <c r="M121" s="43">
        <f t="shared" si="63"/>
        <v>0</v>
      </c>
      <c r="N121" s="43" t="e">
        <f>K121/I121</f>
        <v>#DIV/0!</v>
      </c>
    </row>
    <row r="122" spans="2:14" x14ac:dyDescent="0.3">
      <c r="B122" s="27"/>
      <c r="C122" s="17">
        <v>641</v>
      </c>
      <c r="D122" s="3"/>
      <c r="E122" s="17" t="s">
        <v>271</v>
      </c>
      <c r="F122" s="43">
        <f>SUM(F123)</f>
        <v>0</v>
      </c>
      <c r="G122" s="43">
        <f t="shared" ref="G122:L122" si="64">SUM(G123)</f>
        <v>0</v>
      </c>
      <c r="H122" s="43">
        <f t="shared" si="64"/>
        <v>0</v>
      </c>
      <c r="I122" s="43">
        <f t="shared" si="64"/>
        <v>0</v>
      </c>
      <c r="J122" s="43">
        <f t="shared" si="64"/>
        <v>0</v>
      </c>
      <c r="K122" s="43">
        <f t="shared" si="64"/>
        <v>0</v>
      </c>
      <c r="L122" s="43">
        <f t="shared" si="64"/>
        <v>0</v>
      </c>
      <c r="M122" s="35">
        <f t="shared" ref="M122:M131" si="65">K122-L122</f>
        <v>0</v>
      </c>
      <c r="N122" s="35"/>
    </row>
    <row r="123" spans="2:14" x14ac:dyDescent="0.3">
      <c r="B123" s="27"/>
      <c r="C123" s="17"/>
      <c r="D123" s="3">
        <v>6418</v>
      </c>
      <c r="E123" s="3" t="s">
        <v>272</v>
      </c>
      <c r="F123" s="35"/>
      <c r="G123" s="35"/>
      <c r="H123" s="35"/>
      <c r="I123" s="35"/>
      <c r="J123" s="35"/>
      <c r="K123" s="35"/>
      <c r="L123" s="35"/>
      <c r="M123" s="35">
        <f t="shared" si="65"/>
        <v>0</v>
      </c>
      <c r="N123" s="35" t="e">
        <f t="shared" ref="N123" si="66">K123/I123</f>
        <v>#DIV/0!</v>
      </c>
    </row>
    <row r="124" spans="2:14" s="10" customFormat="1" x14ac:dyDescent="0.3">
      <c r="B124" s="27"/>
      <c r="C124" s="17">
        <v>642</v>
      </c>
      <c r="D124" s="17"/>
      <c r="E124" s="17" t="s">
        <v>273</v>
      </c>
      <c r="F124" s="43">
        <f>SUM(F125)</f>
        <v>0</v>
      </c>
      <c r="G124" s="43">
        <f t="shared" ref="G124:L124" si="67">SUM(G125)</f>
        <v>0</v>
      </c>
      <c r="H124" s="43">
        <f t="shared" si="67"/>
        <v>0</v>
      </c>
      <c r="I124" s="43">
        <f t="shared" si="67"/>
        <v>0</v>
      </c>
      <c r="J124" s="43">
        <f t="shared" si="67"/>
        <v>0</v>
      </c>
      <c r="K124" s="43">
        <f t="shared" si="67"/>
        <v>0</v>
      </c>
      <c r="L124" s="43">
        <f t="shared" si="67"/>
        <v>0</v>
      </c>
      <c r="M124" s="35">
        <f t="shared" si="65"/>
        <v>0</v>
      </c>
      <c r="N124" s="43"/>
    </row>
    <row r="125" spans="2:14" x14ac:dyDescent="0.3">
      <c r="B125" s="27"/>
      <c r="C125" s="17"/>
      <c r="D125" s="3">
        <v>6420</v>
      </c>
      <c r="E125" s="3" t="s">
        <v>273</v>
      </c>
      <c r="F125" s="35"/>
      <c r="G125" s="35"/>
      <c r="H125" s="35"/>
      <c r="I125" s="35"/>
      <c r="J125" s="35"/>
      <c r="K125" s="35"/>
      <c r="L125" s="35"/>
      <c r="M125" s="35">
        <f t="shared" si="65"/>
        <v>0</v>
      </c>
      <c r="N125" s="35" t="e">
        <f t="shared" ref="N125" si="68">K125/I125</f>
        <v>#DIV/0!</v>
      </c>
    </row>
    <row r="126" spans="2:14" s="10" customFormat="1" x14ac:dyDescent="0.3">
      <c r="B126" s="27"/>
      <c r="C126" s="17">
        <v>643</v>
      </c>
      <c r="D126" s="17"/>
      <c r="E126" s="17" t="s">
        <v>274</v>
      </c>
      <c r="F126" s="43">
        <f>SUM(F127)</f>
        <v>0</v>
      </c>
      <c r="G126" s="43">
        <f t="shared" ref="G126:L126" si="69">SUM(G127)</f>
        <v>0</v>
      </c>
      <c r="H126" s="43">
        <f t="shared" si="69"/>
        <v>0</v>
      </c>
      <c r="I126" s="43">
        <f t="shared" si="69"/>
        <v>0</v>
      </c>
      <c r="J126" s="43">
        <f t="shared" si="69"/>
        <v>0</v>
      </c>
      <c r="K126" s="43">
        <f t="shared" si="69"/>
        <v>0</v>
      </c>
      <c r="L126" s="43">
        <f t="shared" si="69"/>
        <v>0</v>
      </c>
      <c r="M126" s="35">
        <f t="shared" si="65"/>
        <v>0</v>
      </c>
      <c r="N126" s="43"/>
    </row>
    <row r="127" spans="2:14" x14ac:dyDescent="0.3">
      <c r="B127" s="27"/>
      <c r="C127" s="17"/>
      <c r="D127" s="3">
        <v>6430</v>
      </c>
      <c r="E127" s="3" t="s">
        <v>274</v>
      </c>
      <c r="F127" s="35"/>
      <c r="G127" s="35"/>
      <c r="H127" s="35"/>
      <c r="I127" s="35"/>
      <c r="J127" s="35"/>
      <c r="K127" s="35"/>
      <c r="L127" s="35"/>
      <c r="M127" s="35">
        <f t="shared" si="65"/>
        <v>0</v>
      </c>
      <c r="N127" s="35" t="e">
        <f t="shared" ref="N127" si="70">K127/I127</f>
        <v>#DIV/0!</v>
      </c>
    </row>
    <row r="128" spans="2:14" s="10" customFormat="1" x14ac:dyDescent="0.3">
      <c r="B128" s="27"/>
      <c r="C128" s="17">
        <v>644</v>
      </c>
      <c r="D128" s="17"/>
      <c r="E128" s="17" t="s">
        <v>275</v>
      </c>
      <c r="F128" s="43">
        <f>SUM(F129)</f>
        <v>0</v>
      </c>
      <c r="G128" s="43">
        <f t="shared" ref="G128:L128" si="71">SUM(G129)</f>
        <v>0</v>
      </c>
      <c r="H128" s="43">
        <f t="shared" si="71"/>
        <v>0</v>
      </c>
      <c r="I128" s="43">
        <f t="shared" si="71"/>
        <v>0</v>
      </c>
      <c r="J128" s="43">
        <f t="shared" si="71"/>
        <v>0</v>
      </c>
      <c r="K128" s="43">
        <f t="shared" si="71"/>
        <v>0</v>
      </c>
      <c r="L128" s="43">
        <f t="shared" si="71"/>
        <v>0</v>
      </c>
      <c r="M128" s="35">
        <f t="shared" si="65"/>
        <v>0</v>
      </c>
      <c r="N128" s="43"/>
    </row>
    <row r="129" spans="2:14" x14ac:dyDescent="0.3">
      <c r="B129" s="27"/>
      <c r="C129" s="17"/>
      <c r="D129" s="3">
        <v>6440</v>
      </c>
      <c r="E129" s="3" t="s">
        <v>275</v>
      </c>
      <c r="F129" s="35"/>
      <c r="G129" s="35"/>
      <c r="H129" s="35"/>
      <c r="I129" s="35"/>
      <c r="J129" s="35"/>
      <c r="K129" s="35"/>
      <c r="L129" s="35"/>
      <c r="M129" s="35">
        <f t="shared" si="65"/>
        <v>0</v>
      </c>
      <c r="N129" s="35" t="e">
        <f t="shared" ref="N129" si="72">K129/I129</f>
        <v>#DIV/0!</v>
      </c>
    </row>
    <row r="130" spans="2:14" s="10" customFormat="1" x14ac:dyDescent="0.3">
      <c r="B130" s="27"/>
      <c r="C130" s="17">
        <v>648</v>
      </c>
      <c r="D130" s="17"/>
      <c r="E130" s="17" t="s">
        <v>276</v>
      </c>
      <c r="F130" s="43">
        <f>SUM(F131)</f>
        <v>0</v>
      </c>
      <c r="G130" s="43">
        <f t="shared" ref="G130:L130" si="73">SUM(G131)</f>
        <v>0</v>
      </c>
      <c r="H130" s="43">
        <f t="shared" si="73"/>
        <v>0</v>
      </c>
      <c r="I130" s="43">
        <f t="shared" si="73"/>
        <v>0</v>
      </c>
      <c r="J130" s="43">
        <f t="shared" si="73"/>
        <v>0</v>
      </c>
      <c r="K130" s="43">
        <f t="shared" si="73"/>
        <v>0</v>
      </c>
      <c r="L130" s="43">
        <f t="shared" si="73"/>
        <v>0</v>
      </c>
      <c r="M130" s="35">
        <f t="shared" si="65"/>
        <v>0</v>
      </c>
      <c r="N130" s="43"/>
    </row>
    <row r="131" spans="2:14" x14ac:dyDescent="0.3">
      <c r="B131" s="27"/>
      <c r="C131" s="17"/>
      <c r="D131" s="3">
        <v>6480</v>
      </c>
      <c r="E131" s="3" t="s">
        <v>276</v>
      </c>
      <c r="F131" s="35"/>
      <c r="G131" s="35"/>
      <c r="H131" s="35"/>
      <c r="I131" s="35"/>
      <c r="J131" s="35"/>
      <c r="K131" s="35"/>
      <c r="L131" s="35"/>
      <c r="M131" s="35">
        <f t="shared" si="65"/>
        <v>0</v>
      </c>
      <c r="N131" s="35" t="e">
        <f t="shared" ref="N131" si="74">K131/I131</f>
        <v>#DIV/0!</v>
      </c>
    </row>
    <row r="132" spans="2:14" s="10" customFormat="1" ht="30" customHeight="1" x14ac:dyDescent="0.3">
      <c r="B132" s="27">
        <v>65</v>
      </c>
      <c r="C132" s="17"/>
      <c r="D132" s="17"/>
      <c r="E132" s="17" t="s">
        <v>158</v>
      </c>
      <c r="F132" s="43">
        <f>SUM(F133,F140,F142,F144)</f>
        <v>0</v>
      </c>
      <c r="G132" s="43">
        <f t="shared" ref="G132:M132" si="75">SUM(G133,G140,G142,G144)</f>
        <v>0</v>
      </c>
      <c r="H132" s="43">
        <f t="shared" si="75"/>
        <v>0</v>
      </c>
      <c r="I132" s="43">
        <f t="shared" si="75"/>
        <v>0</v>
      </c>
      <c r="J132" s="43">
        <f t="shared" si="75"/>
        <v>0</v>
      </c>
      <c r="K132" s="43">
        <f t="shared" si="75"/>
        <v>0</v>
      </c>
      <c r="L132" s="43">
        <f t="shared" si="75"/>
        <v>0</v>
      </c>
      <c r="M132" s="43">
        <f t="shared" si="75"/>
        <v>0</v>
      </c>
      <c r="N132" s="43" t="e">
        <f>K132/I132</f>
        <v>#DIV/0!</v>
      </c>
    </row>
    <row r="133" spans="2:14" x14ac:dyDescent="0.3">
      <c r="B133" s="27"/>
      <c r="C133" s="17">
        <v>651</v>
      </c>
      <c r="D133" s="3"/>
      <c r="E133" s="17" t="s">
        <v>277</v>
      </c>
      <c r="F133" s="35">
        <f>SUM(F134:F139)</f>
        <v>0</v>
      </c>
      <c r="G133" s="35">
        <f t="shared" ref="G133:L133" si="76">SUM(G134:G139)</f>
        <v>0</v>
      </c>
      <c r="H133" s="35">
        <f t="shared" si="76"/>
        <v>0</v>
      </c>
      <c r="I133" s="35">
        <f t="shared" si="76"/>
        <v>0</v>
      </c>
      <c r="J133" s="35">
        <f t="shared" si="76"/>
        <v>0</v>
      </c>
      <c r="K133" s="35">
        <f t="shared" si="76"/>
        <v>0</v>
      </c>
      <c r="L133" s="35">
        <f t="shared" si="76"/>
        <v>0</v>
      </c>
      <c r="M133" s="35">
        <f>K133-L133</f>
        <v>0</v>
      </c>
      <c r="N133" s="35"/>
    </row>
    <row r="134" spans="2:14" x14ac:dyDescent="0.3">
      <c r="B134" s="27"/>
      <c r="C134" s="17"/>
      <c r="D134" s="3">
        <v>6510</v>
      </c>
      <c r="E134" s="3" t="s">
        <v>277</v>
      </c>
      <c r="F134" s="35"/>
      <c r="G134" s="35"/>
      <c r="H134" s="35"/>
      <c r="I134" s="35"/>
      <c r="J134" s="35"/>
      <c r="K134" s="35"/>
      <c r="L134" s="35"/>
      <c r="M134" s="35">
        <f>K134-L134</f>
        <v>0</v>
      </c>
      <c r="N134" s="35" t="e">
        <f t="shared" ref="N134" si="77">K134/I134</f>
        <v>#DIV/0!</v>
      </c>
    </row>
    <row r="135" spans="2:14" x14ac:dyDescent="0.3">
      <c r="B135" s="27"/>
      <c r="C135" s="17">
        <v>653</v>
      </c>
      <c r="D135" s="3"/>
      <c r="E135" s="3" t="s">
        <v>278</v>
      </c>
      <c r="F135" s="35"/>
      <c r="G135" s="35"/>
      <c r="H135" s="35"/>
      <c r="I135" s="35"/>
      <c r="J135" s="35"/>
      <c r="K135" s="35"/>
      <c r="L135" s="35"/>
      <c r="M135" s="35">
        <f>K135-L135</f>
        <v>0</v>
      </c>
      <c r="N135" s="35"/>
    </row>
    <row r="136" spans="2:14" x14ac:dyDescent="0.3">
      <c r="B136" s="27"/>
      <c r="C136" s="17"/>
      <c r="D136" s="3">
        <v>6531</v>
      </c>
      <c r="E136" s="3" t="s">
        <v>279</v>
      </c>
      <c r="F136" s="35"/>
      <c r="G136" s="35"/>
      <c r="H136" s="35"/>
      <c r="I136" s="35"/>
      <c r="J136" s="35"/>
      <c r="K136" s="35"/>
      <c r="L136" s="35"/>
      <c r="M136" s="35">
        <f t="shared" ref="M136:M139" si="78">K136-L136</f>
        <v>0</v>
      </c>
      <c r="N136" s="35" t="e">
        <f t="shared" ref="N136:N139" si="79">K136/I136</f>
        <v>#DIV/0!</v>
      </c>
    </row>
    <row r="137" spans="2:14" x14ac:dyDescent="0.3">
      <c r="B137" s="27"/>
      <c r="C137" s="17"/>
      <c r="D137" s="3">
        <v>6532</v>
      </c>
      <c r="E137" s="3" t="s">
        <v>280</v>
      </c>
      <c r="F137" s="35"/>
      <c r="G137" s="35"/>
      <c r="H137" s="35"/>
      <c r="I137" s="35"/>
      <c r="J137" s="35"/>
      <c r="K137" s="35"/>
      <c r="L137" s="35"/>
      <c r="M137" s="35">
        <f t="shared" si="78"/>
        <v>0</v>
      </c>
      <c r="N137" s="35" t="e">
        <f t="shared" si="79"/>
        <v>#DIV/0!</v>
      </c>
    </row>
    <row r="138" spans="2:14" x14ac:dyDescent="0.3">
      <c r="B138" s="3"/>
      <c r="C138" s="3"/>
      <c r="D138" s="3">
        <v>6533</v>
      </c>
      <c r="E138" s="3" t="s">
        <v>281</v>
      </c>
      <c r="F138" s="35"/>
      <c r="G138" s="35"/>
      <c r="H138" s="35"/>
      <c r="I138" s="35"/>
      <c r="J138" s="35"/>
      <c r="K138" s="35"/>
      <c r="L138" s="35"/>
      <c r="M138" s="35">
        <f t="shared" si="78"/>
        <v>0</v>
      </c>
      <c r="N138" s="35" t="e">
        <f t="shared" si="79"/>
        <v>#DIV/0!</v>
      </c>
    </row>
    <row r="139" spans="2:14" x14ac:dyDescent="0.3">
      <c r="B139" s="27"/>
      <c r="C139" s="17"/>
      <c r="D139" s="3">
        <v>6534</v>
      </c>
      <c r="E139" s="3" t="s">
        <v>282</v>
      </c>
      <c r="F139" s="35"/>
      <c r="G139" s="35"/>
      <c r="H139" s="35"/>
      <c r="I139" s="35"/>
      <c r="J139" s="35"/>
      <c r="K139" s="35"/>
      <c r="L139" s="35"/>
      <c r="M139" s="35">
        <f t="shared" si="78"/>
        <v>0</v>
      </c>
      <c r="N139" s="35" t="e">
        <f t="shared" si="79"/>
        <v>#DIV/0!</v>
      </c>
    </row>
    <row r="140" spans="2:14" x14ac:dyDescent="0.3">
      <c r="B140" s="27"/>
      <c r="C140" s="17">
        <v>654</v>
      </c>
      <c r="D140" s="3"/>
      <c r="E140" s="17" t="s">
        <v>283</v>
      </c>
      <c r="F140" s="35">
        <f>SUM(F141)</f>
        <v>0</v>
      </c>
      <c r="G140" s="35">
        <f t="shared" ref="G140:L140" si="80">SUM(G141)</f>
        <v>0</v>
      </c>
      <c r="H140" s="35">
        <f t="shared" si="80"/>
        <v>0</v>
      </c>
      <c r="I140" s="35">
        <f t="shared" si="80"/>
        <v>0</v>
      </c>
      <c r="J140" s="35">
        <f t="shared" si="80"/>
        <v>0</v>
      </c>
      <c r="K140" s="35">
        <f t="shared" si="80"/>
        <v>0</v>
      </c>
      <c r="L140" s="35">
        <f t="shared" si="80"/>
        <v>0</v>
      </c>
      <c r="M140" s="35">
        <f>K140-L140</f>
        <v>0</v>
      </c>
      <c r="N140" s="35"/>
    </row>
    <row r="141" spans="2:14" x14ac:dyDescent="0.3">
      <c r="B141" s="27"/>
      <c r="C141" s="17"/>
      <c r="D141" s="3">
        <v>6540</v>
      </c>
      <c r="E141" s="3" t="s">
        <v>283</v>
      </c>
      <c r="F141" s="35"/>
      <c r="G141" s="35"/>
      <c r="H141" s="35"/>
      <c r="I141" s="35"/>
      <c r="J141" s="35"/>
      <c r="K141" s="35"/>
      <c r="L141" s="35"/>
      <c r="M141" s="35">
        <f>K141-L141</f>
        <v>0</v>
      </c>
      <c r="N141" s="35" t="e">
        <f t="shared" ref="N141" si="81">K141/I141</f>
        <v>#DIV/0!</v>
      </c>
    </row>
    <row r="142" spans="2:14" x14ac:dyDescent="0.3">
      <c r="B142" s="27"/>
      <c r="C142" s="17">
        <v>655</v>
      </c>
      <c r="D142" s="3"/>
      <c r="E142" s="17" t="s">
        <v>284</v>
      </c>
      <c r="F142" s="35">
        <f>SUM(F143)</f>
        <v>0</v>
      </c>
      <c r="G142" s="35">
        <f t="shared" ref="G142:L142" si="82">SUM(G143)</f>
        <v>0</v>
      </c>
      <c r="H142" s="35">
        <f t="shared" si="82"/>
        <v>0</v>
      </c>
      <c r="I142" s="35">
        <f t="shared" si="82"/>
        <v>0</v>
      </c>
      <c r="J142" s="35">
        <f t="shared" si="82"/>
        <v>0</v>
      </c>
      <c r="K142" s="35">
        <f t="shared" si="82"/>
        <v>0</v>
      </c>
      <c r="L142" s="35">
        <f t="shared" si="82"/>
        <v>0</v>
      </c>
      <c r="M142" s="35">
        <f>K142-L142</f>
        <v>0</v>
      </c>
      <c r="N142" s="35"/>
    </row>
    <row r="143" spans="2:14" x14ac:dyDescent="0.3">
      <c r="B143" s="27"/>
      <c r="C143" s="17"/>
      <c r="D143" s="3">
        <v>6550</v>
      </c>
      <c r="E143" s="3" t="s">
        <v>284</v>
      </c>
      <c r="F143" s="35"/>
      <c r="G143" s="35"/>
      <c r="H143" s="35"/>
      <c r="I143" s="35"/>
      <c r="J143" s="35"/>
      <c r="K143" s="35"/>
      <c r="L143" s="35"/>
      <c r="M143" s="35">
        <f>K143-L143</f>
        <v>0</v>
      </c>
      <c r="N143" s="35" t="e">
        <f t="shared" ref="N143" si="83">K143/I143</f>
        <v>#DIV/0!</v>
      </c>
    </row>
    <row r="144" spans="2:14" x14ac:dyDescent="0.3">
      <c r="B144" s="27"/>
      <c r="C144" s="17">
        <v>656</v>
      </c>
      <c r="D144" s="3"/>
      <c r="E144" s="17" t="s">
        <v>285</v>
      </c>
      <c r="F144" s="35">
        <f>SUM(F145:F149)</f>
        <v>0</v>
      </c>
      <c r="G144" s="35">
        <f t="shared" ref="G144:L144" si="84">SUM(G145:G149)</f>
        <v>0</v>
      </c>
      <c r="H144" s="35">
        <f t="shared" si="84"/>
        <v>0</v>
      </c>
      <c r="I144" s="35">
        <f t="shared" si="84"/>
        <v>0</v>
      </c>
      <c r="J144" s="35">
        <f t="shared" si="84"/>
        <v>0</v>
      </c>
      <c r="K144" s="35">
        <f t="shared" si="84"/>
        <v>0</v>
      </c>
      <c r="L144" s="35">
        <f t="shared" si="84"/>
        <v>0</v>
      </c>
      <c r="M144" s="35">
        <f>K144-L144</f>
        <v>0</v>
      </c>
      <c r="N144" s="35"/>
    </row>
    <row r="145" spans="2:14" x14ac:dyDescent="0.3">
      <c r="B145" s="27"/>
      <c r="C145" s="17"/>
      <c r="D145" s="3">
        <v>6561</v>
      </c>
      <c r="E145" s="3" t="s">
        <v>286</v>
      </c>
      <c r="F145" s="35"/>
      <c r="G145" s="35"/>
      <c r="H145" s="35"/>
      <c r="I145" s="35"/>
      <c r="J145" s="35"/>
      <c r="K145" s="35"/>
      <c r="L145" s="35"/>
      <c r="M145" s="35">
        <f t="shared" ref="M145:M149" si="85">K145-L145</f>
        <v>0</v>
      </c>
      <c r="N145" s="35" t="e">
        <f t="shared" ref="N145:N149" si="86">K145/I145</f>
        <v>#DIV/0!</v>
      </c>
    </row>
    <row r="146" spans="2:14" x14ac:dyDescent="0.3">
      <c r="B146" s="27"/>
      <c r="C146" s="17"/>
      <c r="D146" s="3">
        <v>6562</v>
      </c>
      <c r="E146" s="3" t="s">
        <v>287</v>
      </c>
      <c r="F146" s="35"/>
      <c r="G146" s="35"/>
      <c r="H146" s="35"/>
      <c r="I146" s="35"/>
      <c r="J146" s="35"/>
      <c r="K146" s="35"/>
      <c r="L146" s="35"/>
      <c r="M146" s="35">
        <f t="shared" si="85"/>
        <v>0</v>
      </c>
      <c r="N146" s="35" t="e">
        <f t="shared" si="86"/>
        <v>#DIV/0!</v>
      </c>
    </row>
    <row r="147" spans="2:14" x14ac:dyDescent="0.3">
      <c r="B147" s="27"/>
      <c r="C147" s="17"/>
      <c r="D147" s="3">
        <v>6563</v>
      </c>
      <c r="E147" s="3" t="s">
        <v>288</v>
      </c>
      <c r="F147" s="35"/>
      <c r="G147" s="35"/>
      <c r="H147" s="35"/>
      <c r="I147" s="35"/>
      <c r="J147" s="35"/>
      <c r="K147" s="35"/>
      <c r="L147" s="35"/>
      <c r="M147" s="35">
        <f t="shared" si="85"/>
        <v>0</v>
      </c>
      <c r="N147" s="35" t="e">
        <f t="shared" si="86"/>
        <v>#DIV/0!</v>
      </c>
    </row>
    <row r="148" spans="2:14" x14ac:dyDescent="0.3">
      <c r="B148" s="27"/>
      <c r="C148" s="17"/>
      <c r="D148" s="3">
        <v>6564</v>
      </c>
      <c r="E148" s="3" t="s">
        <v>289</v>
      </c>
      <c r="F148" s="35"/>
      <c r="G148" s="35"/>
      <c r="H148" s="35"/>
      <c r="I148" s="35"/>
      <c r="J148" s="35"/>
      <c r="K148" s="35"/>
      <c r="L148" s="35"/>
      <c r="M148" s="35">
        <f t="shared" si="85"/>
        <v>0</v>
      </c>
      <c r="N148" s="35" t="e">
        <f t="shared" si="86"/>
        <v>#DIV/0!</v>
      </c>
    </row>
    <row r="149" spans="2:14" x14ac:dyDescent="0.3">
      <c r="B149" s="27"/>
      <c r="C149" s="17"/>
      <c r="D149" s="3">
        <v>6565</v>
      </c>
      <c r="E149" s="3" t="s">
        <v>290</v>
      </c>
      <c r="F149" s="35"/>
      <c r="G149" s="35"/>
      <c r="H149" s="35"/>
      <c r="I149" s="35"/>
      <c r="J149" s="35"/>
      <c r="K149" s="35"/>
      <c r="L149" s="35"/>
      <c r="M149" s="35">
        <f t="shared" si="85"/>
        <v>0</v>
      </c>
      <c r="N149" s="35" t="e">
        <f t="shared" si="86"/>
        <v>#DIV/0!</v>
      </c>
    </row>
    <row r="150" spans="2:14" s="10" customFormat="1" ht="30" customHeight="1" x14ac:dyDescent="0.3">
      <c r="B150" s="27">
        <v>66</v>
      </c>
      <c r="C150" s="17"/>
      <c r="D150" s="17"/>
      <c r="E150" s="17" t="s">
        <v>159</v>
      </c>
      <c r="F150" s="43">
        <f>SUM(F151,F154,F157,F160,F162)</f>
        <v>0</v>
      </c>
      <c r="G150" s="43">
        <f t="shared" ref="G150:M150" si="87">SUM(G151,G154,G157,G160,G162)</f>
        <v>0</v>
      </c>
      <c r="H150" s="43">
        <f t="shared" si="87"/>
        <v>0</v>
      </c>
      <c r="I150" s="43">
        <f t="shared" si="87"/>
        <v>0</v>
      </c>
      <c r="J150" s="43">
        <f t="shared" si="87"/>
        <v>0</v>
      </c>
      <c r="K150" s="43">
        <f t="shared" si="87"/>
        <v>0</v>
      </c>
      <c r="L150" s="43">
        <f t="shared" si="87"/>
        <v>0</v>
      </c>
      <c r="M150" s="43">
        <f t="shared" si="87"/>
        <v>0</v>
      </c>
      <c r="N150" s="43" t="e">
        <f>K150/I150</f>
        <v>#DIV/0!</v>
      </c>
    </row>
    <row r="151" spans="2:14" s="10" customFormat="1" x14ac:dyDescent="0.3">
      <c r="B151" s="27"/>
      <c r="C151" s="17">
        <v>661</v>
      </c>
      <c r="D151" s="17"/>
      <c r="E151" s="17" t="s">
        <v>291</v>
      </c>
      <c r="F151" s="43">
        <f>SUM(F152:F153)</f>
        <v>0</v>
      </c>
      <c r="G151" s="43">
        <f t="shared" ref="G151:L151" si="88">SUM(G152:G153)</f>
        <v>0</v>
      </c>
      <c r="H151" s="43">
        <f t="shared" si="88"/>
        <v>0</v>
      </c>
      <c r="I151" s="43">
        <f t="shared" si="88"/>
        <v>0</v>
      </c>
      <c r="J151" s="43">
        <f t="shared" si="88"/>
        <v>0</v>
      </c>
      <c r="K151" s="43">
        <f t="shared" si="88"/>
        <v>0</v>
      </c>
      <c r="L151" s="43">
        <f t="shared" si="88"/>
        <v>0</v>
      </c>
      <c r="M151" s="35">
        <f t="shared" ref="M151:M154" si="89">K151-L151</f>
        <v>0</v>
      </c>
      <c r="N151" s="43"/>
    </row>
    <row r="152" spans="2:14" x14ac:dyDescent="0.3">
      <c r="B152" s="27"/>
      <c r="C152" s="17"/>
      <c r="D152" s="3">
        <v>6611</v>
      </c>
      <c r="E152" s="3" t="s">
        <v>292</v>
      </c>
      <c r="F152" s="35"/>
      <c r="G152" s="35"/>
      <c r="H152" s="35"/>
      <c r="I152" s="35"/>
      <c r="J152" s="35"/>
      <c r="K152" s="35"/>
      <c r="L152" s="35"/>
      <c r="M152" s="35">
        <f t="shared" si="89"/>
        <v>0</v>
      </c>
      <c r="N152" s="35" t="e">
        <f t="shared" ref="N152:N153" si="90">K152/I152</f>
        <v>#DIV/0!</v>
      </c>
    </row>
    <row r="153" spans="2:14" x14ac:dyDescent="0.3">
      <c r="B153" s="27"/>
      <c r="C153" s="17"/>
      <c r="D153" s="3">
        <v>6618</v>
      </c>
      <c r="E153" s="3" t="s">
        <v>293</v>
      </c>
      <c r="F153" s="35"/>
      <c r="G153" s="35"/>
      <c r="H153" s="35"/>
      <c r="I153" s="35"/>
      <c r="J153" s="35"/>
      <c r="K153" s="35"/>
      <c r="L153" s="35"/>
      <c r="M153" s="35">
        <f t="shared" si="89"/>
        <v>0</v>
      </c>
      <c r="N153" s="35" t="e">
        <f t="shared" si="90"/>
        <v>#DIV/0!</v>
      </c>
    </row>
    <row r="154" spans="2:14" s="10" customFormat="1" x14ac:dyDescent="0.3">
      <c r="B154" s="27"/>
      <c r="C154" s="17">
        <v>662</v>
      </c>
      <c r="D154" s="17"/>
      <c r="E154" s="17" t="s">
        <v>294</v>
      </c>
      <c r="F154" s="43">
        <f>SUM(F155:F156)</f>
        <v>0</v>
      </c>
      <c r="G154" s="43">
        <f t="shared" ref="G154:L154" si="91">SUM(G155:G156)</f>
        <v>0</v>
      </c>
      <c r="H154" s="43">
        <f t="shared" si="91"/>
        <v>0</v>
      </c>
      <c r="I154" s="43">
        <f t="shared" si="91"/>
        <v>0</v>
      </c>
      <c r="J154" s="43">
        <f t="shared" si="91"/>
        <v>0</v>
      </c>
      <c r="K154" s="43">
        <f t="shared" si="91"/>
        <v>0</v>
      </c>
      <c r="L154" s="43">
        <f t="shared" si="91"/>
        <v>0</v>
      </c>
      <c r="M154" s="35">
        <f t="shared" si="89"/>
        <v>0</v>
      </c>
      <c r="N154" s="43"/>
    </row>
    <row r="155" spans="2:14" x14ac:dyDescent="0.3">
      <c r="B155" s="27"/>
      <c r="C155" s="17"/>
      <c r="D155" s="3">
        <v>6621</v>
      </c>
      <c r="E155" s="3" t="s">
        <v>294</v>
      </c>
      <c r="F155" s="35"/>
      <c r="G155" s="35"/>
      <c r="H155" s="35"/>
      <c r="I155" s="35"/>
      <c r="J155" s="35"/>
      <c r="K155" s="35"/>
      <c r="L155" s="35"/>
      <c r="M155" s="35">
        <f t="shared" ref="M155:M157" si="92">K155-L155</f>
        <v>0</v>
      </c>
      <c r="N155" s="35" t="e">
        <f t="shared" ref="N155:N156" si="93">K155/I155</f>
        <v>#DIV/0!</v>
      </c>
    </row>
    <row r="156" spans="2:14" x14ac:dyDescent="0.3">
      <c r="B156" s="27"/>
      <c r="C156" s="17"/>
      <c r="D156" s="3">
        <v>6622</v>
      </c>
      <c r="E156" s="3" t="s">
        <v>295</v>
      </c>
      <c r="F156" s="35"/>
      <c r="G156" s="35"/>
      <c r="H156" s="35"/>
      <c r="I156" s="35"/>
      <c r="J156" s="35"/>
      <c r="K156" s="35"/>
      <c r="L156" s="35"/>
      <c r="M156" s="35">
        <f t="shared" si="92"/>
        <v>0</v>
      </c>
      <c r="N156" s="35" t="e">
        <f t="shared" si="93"/>
        <v>#DIV/0!</v>
      </c>
    </row>
    <row r="157" spans="2:14" s="10" customFormat="1" x14ac:dyDescent="0.3">
      <c r="B157" s="27"/>
      <c r="C157" s="17">
        <v>663</v>
      </c>
      <c r="D157" s="17"/>
      <c r="E157" s="17" t="s">
        <v>296</v>
      </c>
      <c r="F157" s="43">
        <f>SUM(F158:F159)</f>
        <v>0</v>
      </c>
      <c r="G157" s="43">
        <f t="shared" ref="G157:L157" si="94">SUM(G158:G159)</f>
        <v>0</v>
      </c>
      <c r="H157" s="43">
        <f t="shared" si="94"/>
        <v>0</v>
      </c>
      <c r="I157" s="43">
        <f t="shared" si="94"/>
        <v>0</v>
      </c>
      <c r="J157" s="43">
        <f t="shared" si="94"/>
        <v>0</v>
      </c>
      <c r="K157" s="43">
        <f t="shared" si="94"/>
        <v>0</v>
      </c>
      <c r="L157" s="43">
        <f t="shared" si="94"/>
        <v>0</v>
      </c>
      <c r="M157" s="35">
        <f t="shared" si="92"/>
        <v>0</v>
      </c>
      <c r="N157" s="43"/>
    </row>
    <row r="158" spans="2:14" x14ac:dyDescent="0.3">
      <c r="B158" s="27"/>
      <c r="C158" s="17"/>
      <c r="D158" s="3">
        <v>6631</v>
      </c>
      <c r="E158" s="3" t="s">
        <v>297</v>
      </c>
      <c r="F158" s="35"/>
      <c r="G158" s="35"/>
      <c r="H158" s="35"/>
      <c r="I158" s="35"/>
      <c r="J158" s="35"/>
      <c r="K158" s="35"/>
      <c r="L158" s="35"/>
      <c r="M158" s="35">
        <f t="shared" ref="M158:M160" si="95">K158-L158</f>
        <v>0</v>
      </c>
      <c r="N158" s="35" t="e">
        <f t="shared" ref="N158:N159" si="96">K158/I158</f>
        <v>#DIV/0!</v>
      </c>
    </row>
    <row r="159" spans="2:14" x14ac:dyDescent="0.3">
      <c r="B159" s="27"/>
      <c r="C159" s="17"/>
      <c r="D159" s="3">
        <v>6632</v>
      </c>
      <c r="E159" s="3" t="s">
        <v>298</v>
      </c>
      <c r="F159" s="35"/>
      <c r="G159" s="35"/>
      <c r="H159" s="35"/>
      <c r="I159" s="35"/>
      <c r="J159" s="35"/>
      <c r="K159" s="35"/>
      <c r="L159" s="35"/>
      <c r="M159" s="35">
        <f t="shared" si="95"/>
        <v>0</v>
      </c>
      <c r="N159" s="35" t="e">
        <f t="shared" si="96"/>
        <v>#DIV/0!</v>
      </c>
    </row>
    <row r="160" spans="2:14" s="10" customFormat="1" x14ac:dyDescent="0.3">
      <c r="B160" s="27"/>
      <c r="C160" s="17">
        <v>666</v>
      </c>
      <c r="D160" s="17"/>
      <c r="E160" s="17" t="s">
        <v>299</v>
      </c>
      <c r="F160" s="43">
        <f>SUM(F161)</f>
        <v>0</v>
      </c>
      <c r="G160" s="43">
        <f t="shared" ref="G160:L160" si="97">SUM(G161)</f>
        <v>0</v>
      </c>
      <c r="H160" s="43">
        <f t="shared" si="97"/>
        <v>0</v>
      </c>
      <c r="I160" s="43">
        <f t="shared" si="97"/>
        <v>0</v>
      </c>
      <c r="J160" s="43">
        <f t="shared" si="97"/>
        <v>0</v>
      </c>
      <c r="K160" s="43">
        <f t="shared" si="97"/>
        <v>0</v>
      </c>
      <c r="L160" s="43">
        <f t="shared" si="97"/>
        <v>0</v>
      </c>
      <c r="M160" s="35">
        <f t="shared" si="95"/>
        <v>0</v>
      </c>
      <c r="N160" s="43"/>
    </row>
    <row r="161" spans="2:14" x14ac:dyDescent="0.3">
      <c r="B161" s="27"/>
      <c r="C161" s="17"/>
      <c r="D161" s="3">
        <v>6660</v>
      </c>
      <c r="E161" s="3" t="s">
        <v>300</v>
      </c>
      <c r="F161" s="35"/>
      <c r="G161" s="35"/>
      <c r="H161" s="35"/>
      <c r="I161" s="35"/>
      <c r="J161" s="35"/>
      <c r="K161" s="35"/>
      <c r="L161" s="35"/>
      <c r="M161" s="35">
        <f>K161-L161</f>
        <v>0</v>
      </c>
      <c r="N161" s="35" t="e">
        <f t="shared" ref="N161" si="98">K161/I161</f>
        <v>#DIV/0!</v>
      </c>
    </row>
    <row r="162" spans="2:14" s="10" customFormat="1" x14ac:dyDescent="0.3">
      <c r="B162" s="27"/>
      <c r="C162" s="17">
        <v>668</v>
      </c>
      <c r="D162" s="17"/>
      <c r="E162" s="17" t="s">
        <v>301</v>
      </c>
      <c r="F162" s="43">
        <f>SUM(F163:F164)</f>
        <v>0</v>
      </c>
      <c r="G162" s="43">
        <f t="shared" ref="G162:L162" si="99">SUM(G163:G164)</f>
        <v>0</v>
      </c>
      <c r="H162" s="43">
        <f t="shared" si="99"/>
        <v>0</v>
      </c>
      <c r="I162" s="43">
        <f t="shared" si="99"/>
        <v>0</v>
      </c>
      <c r="J162" s="43">
        <f t="shared" si="99"/>
        <v>0</v>
      </c>
      <c r="K162" s="43">
        <f t="shared" si="99"/>
        <v>0</v>
      </c>
      <c r="L162" s="43">
        <f t="shared" si="99"/>
        <v>0</v>
      </c>
      <c r="M162" s="35">
        <f t="shared" ref="M162" si="100">K162-L162</f>
        <v>0</v>
      </c>
      <c r="N162" s="43"/>
    </row>
    <row r="163" spans="2:14" x14ac:dyDescent="0.3">
      <c r="B163" s="27"/>
      <c r="C163" s="17"/>
      <c r="D163" s="3">
        <v>6681</v>
      </c>
      <c r="E163" s="3" t="s">
        <v>302</v>
      </c>
      <c r="F163" s="35"/>
      <c r="G163" s="35"/>
      <c r="H163" s="35"/>
      <c r="I163" s="35"/>
      <c r="J163" s="35"/>
      <c r="K163" s="35"/>
      <c r="L163" s="35"/>
      <c r="M163" s="35">
        <f t="shared" ref="M163:M164" si="101">K163-L163</f>
        <v>0</v>
      </c>
      <c r="N163" s="35" t="e">
        <f t="shared" ref="N163:N164" si="102">K163/I163</f>
        <v>#DIV/0!</v>
      </c>
    </row>
    <row r="164" spans="2:14" x14ac:dyDescent="0.3">
      <c r="B164" s="27"/>
      <c r="C164" s="17"/>
      <c r="D164" s="3">
        <v>6688</v>
      </c>
      <c r="E164" s="3" t="s">
        <v>301</v>
      </c>
      <c r="F164" s="35"/>
      <c r="G164" s="35"/>
      <c r="H164" s="35"/>
      <c r="I164" s="35"/>
      <c r="J164" s="35"/>
      <c r="K164" s="35"/>
      <c r="L164" s="35"/>
      <c r="M164" s="35">
        <f t="shared" si="101"/>
        <v>0</v>
      </c>
      <c r="N164" s="35" t="e">
        <f t="shared" si="102"/>
        <v>#DIV/0!</v>
      </c>
    </row>
    <row r="165" spans="2:14" s="10" customFormat="1" ht="30" customHeight="1" x14ac:dyDescent="0.3">
      <c r="B165" s="27">
        <v>67</v>
      </c>
      <c r="C165" s="17"/>
      <c r="D165" s="17"/>
      <c r="E165" s="17" t="s">
        <v>160</v>
      </c>
      <c r="F165" s="43">
        <f>SUM(F166,F172,F174,F176,F179,F183)</f>
        <v>0</v>
      </c>
      <c r="G165" s="43">
        <f t="shared" ref="G165:M165" si="103">SUM(G166,G172,G174,G176,G179,G183)</f>
        <v>0</v>
      </c>
      <c r="H165" s="43">
        <f t="shared" si="103"/>
        <v>0</v>
      </c>
      <c r="I165" s="43">
        <f t="shared" si="103"/>
        <v>0</v>
      </c>
      <c r="J165" s="43">
        <f t="shared" si="103"/>
        <v>0</v>
      </c>
      <c r="K165" s="43">
        <f t="shared" si="103"/>
        <v>0</v>
      </c>
      <c r="L165" s="43">
        <f t="shared" si="103"/>
        <v>0</v>
      </c>
      <c r="M165" s="43">
        <f t="shared" si="103"/>
        <v>0</v>
      </c>
      <c r="N165" s="43" t="e">
        <f>K165/I165</f>
        <v>#DIV/0!</v>
      </c>
    </row>
    <row r="166" spans="2:14" s="10" customFormat="1" x14ac:dyDescent="0.3">
      <c r="B166" s="27"/>
      <c r="C166" s="17">
        <v>671</v>
      </c>
      <c r="D166" s="17"/>
      <c r="E166" s="17" t="s">
        <v>303</v>
      </c>
      <c r="F166" s="43">
        <f>SUM(F167:F171)</f>
        <v>0</v>
      </c>
      <c r="G166" s="43">
        <f t="shared" ref="G166:L166" si="104">SUM(G167:G171)</f>
        <v>0</v>
      </c>
      <c r="H166" s="43">
        <f t="shared" si="104"/>
        <v>0</v>
      </c>
      <c r="I166" s="43">
        <f t="shared" si="104"/>
        <v>0</v>
      </c>
      <c r="J166" s="43">
        <f t="shared" si="104"/>
        <v>0</v>
      </c>
      <c r="K166" s="43">
        <f t="shared" si="104"/>
        <v>0</v>
      </c>
      <c r="L166" s="43">
        <f t="shared" si="104"/>
        <v>0</v>
      </c>
      <c r="M166" s="35">
        <f t="shared" ref="M166:M176" si="105">K166-L166</f>
        <v>0</v>
      </c>
      <c r="N166" s="43"/>
    </row>
    <row r="167" spans="2:14" x14ac:dyDescent="0.3">
      <c r="B167" s="27"/>
      <c r="C167" s="17"/>
      <c r="D167" s="3">
        <v>6711</v>
      </c>
      <c r="E167" s="3" t="s">
        <v>304</v>
      </c>
      <c r="F167" s="35"/>
      <c r="G167" s="35"/>
      <c r="H167" s="35"/>
      <c r="I167" s="35"/>
      <c r="J167" s="35"/>
      <c r="K167" s="35"/>
      <c r="L167" s="35"/>
      <c r="M167" s="35">
        <f t="shared" si="105"/>
        <v>0</v>
      </c>
      <c r="N167" s="35" t="e">
        <f t="shared" ref="N167:N171" si="106">K167/I167</f>
        <v>#DIV/0!</v>
      </c>
    </row>
    <row r="168" spans="2:14" x14ac:dyDescent="0.3">
      <c r="B168" s="27"/>
      <c r="C168" s="17"/>
      <c r="D168" s="3">
        <v>6712</v>
      </c>
      <c r="E168" s="3" t="s">
        <v>305</v>
      </c>
      <c r="F168" s="35"/>
      <c r="G168" s="35"/>
      <c r="H168" s="35"/>
      <c r="I168" s="35"/>
      <c r="J168" s="35"/>
      <c r="K168" s="35"/>
      <c r="L168" s="35"/>
      <c r="M168" s="35">
        <f t="shared" si="105"/>
        <v>0</v>
      </c>
      <c r="N168" s="35" t="e">
        <f t="shared" si="106"/>
        <v>#DIV/0!</v>
      </c>
    </row>
    <row r="169" spans="2:14" x14ac:dyDescent="0.3">
      <c r="B169" s="27"/>
      <c r="C169" s="17"/>
      <c r="D169" s="3">
        <v>6713</v>
      </c>
      <c r="E169" s="3" t="s">
        <v>306</v>
      </c>
      <c r="F169" s="35"/>
      <c r="G169" s="35"/>
      <c r="H169" s="35"/>
      <c r="I169" s="35"/>
      <c r="J169" s="35"/>
      <c r="K169" s="35"/>
      <c r="L169" s="35"/>
      <c r="M169" s="35">
        <f t="shared" si="105"/>
        <v>0</v>
      </c>
      <c r="N169" s="35" t="e">
        <f t="shared" si="106"/>
        <v>#DIV/0!</v>
      </c>
    </row>
    <row r="170" spans="2:14" x14ac:dyDescent="0.3">
      <c r="B170" s="27"/>
      <c r="C170" s="17"/>
      <c r="D170" s="3">
        <v>6714</v>
      </c>
      <c r="E170" s="3" t="s">
        <v>307</v>
      </c>
      <c r="F170" s="35"/>
      <c r="G170" s="35"/>
      <c r="H170" s="35"/>
      <c r="I170" s="35"/>
      <c r="J170" s="35"/>
      <c r="K170" s="35"/>
      <c r="L170" s="35"/>
      <c r="M170" s="35">
        <f t="shared" si="105"/>
        <v>0</v>
      </c>
      <c r="N170" s="35" t="e">
        <f t="shared" si="106"/>
        <v>#DIV/0!</v>
      </c>
    </row>
    <row r="171" spans="2:14" x14ac:dyDescent="0.3">
      <c r="B171" s="27"/>
      <c r="C171" s="17"/>
      <c r="D171" s="3">
        <v>6718</v>
      </c>
      <c r="E171" s="3" t="s">
        <v>95</v>
      </c>
      <c r="F171" s="35"/>
      <c r="G171" s="35"/>
      <c r="H171" s="35"/>
      <c r="I171" s="35"/>
      <c r="J171" s="35"/>
      <c r="K171" s="35"/>
      <c r="L171" s="35"/>
      <c r="M171" s="35">
        <f t="shared" si="105"/>
        <v>0</v>
      </c>
      <c r="N171" s="35" t="e">
        <f t="shared" si="106"/>
        <v>#DIV/0!</v>
      </c>
    </row>
    <row r="172" spans="2:14" s="10" customFormat="1" x14ac:dyDescent="0.3">
      <c r="B172" s="27"/>
      <c r="C172" s="17">
        <v>672</v>
      </c>
      <c r="D172" s="17"/>
      <c r="E172" s="17" t="s">
        <v>308</v>
      </c>
      <c r="F172" s="43">
        <f>SUM(F173)</f>
        <v>0</v>
      </c>
      <c r="G172" s="43">
        <f t="shared" ref="G172:L172" si="107">SUM(G173)</f>
        <v>0</v>
      </c>
      <c r="H172" s="43">
        <f t="shared" si="107"/>
        <v>0</v>
      </c>
      <c r="I172" s="43">
        <f t="shared" si="107"/>
        <v>0</v>
      </c>
      <c r="J172" s="43">
        <f t="shared" si="107"/>
        <v>0</v>
      </c>
      <c r="K172" s="43">
        <f t="shared" si="107"/>
        <v>0</v>
      </c>
      <c r="L172" s="43">
        <f t="shared" si="107"/>
        <v>0</v>
      </c>
      <c r="M172" s="35">
        <f t="shared" si="105"/>
        <v>0</v>
      </c>
      <c r="N172" s="43"/>
    </row>
    <row r="173" spans="2:14" x14ac:dyDescent="0.3">
      <c r="B173" s="27"/>
      <c r="C173" s="17"/>
      <c r="D173" s="3">
        <v>6720</v>
      </c>
      <c r="E173" s="3" t="s">
        <v>319</v>
      </c>
      <c r="F173" s="35"/>
      <c r="G173" s="35"/>
      <c r="H173" s="35"/>
      <c r="I173" s="35"/>
      <c r="J173" s="35"/>
      <c r="K173" s="35"/>
      <c r="L173" s="35"/>
      <c r="M173" s="35">
        <f>K173-L173</f>
        <v>0</v>
      </c>
      <c r="N173" s="35" t="e">
        <f t="shared" ref="N173" si="108">K173/I173</f>
        <v>#DIV/0!</v>
      </c>
    </row>
    <row r="174" spans="2:14" s="10" customFormat="1" x14ac:dyDescent="0.3">
      <c r="B174" s="27"/>
      <c r="C174" s="17">
        <v>673</v>
      </c>
      <c r="D174" s="17"/>
      <c r="E174" s="17" t="s">
        <v>309</v>
      </c>
      <c r="F174" s="43">
        <f>SUM(F175)</f>
        <v>0</v>
      </c>
      <c r="G174" s="43">
        <f t="shared" ref="G174:L174" si="109">SUM(G175)</f>
        <v>0</v>
      </c>
      <c r="H174" s="43">
        <f t="shared" si="109"/>
        <v>0</v>
      </c>
      <c r="I174" s="43">
        <f t="shared" si="109"/>
        <v>0</v>
      </c>
      <c r="J174" s="43">
        <f t="shared" si="109"/>
        <v>0</v>
      </c>
      <c r="K174" s="43">
        <f t="shared" si="109"/>
        <v>0</v>
      </c>
      <c r="L174" s="43">
        <f t="shared" si="109"/>
        <v>0</v>
      </c>
      <c r="M174" s="35">
        <f t="shared" si="105"/>
        <v>0</v>
      </c>
      <c r="N174" s="43"/>
    </row>
    <row r="175" spans="2:14" x14ac:dyDescent="0.3">
      <c r="B175" s="27"/>
      <c r="C175" s="17"/>
      <c r="D175" s="3">
        <v>6730</v>
      </c>
      <c r="E175" s="3" t="s">
        <v>309</v>
      </c>
      <c r="F175" s="35"/>
      <c r="G175" s="35"/>
      <c r="H175" s="35"/>
      <c r="I175" s="35"/>
      <c r="J175" s="35"/>
      <c r="K175" s="35"/>
      <c r="L175" s="35"/>
      <c r="M175" s="35">
        <f>K175-L175</f>
        <v>0</v>
      </c>
      <c r="N175" s="35" t="e">
        <f t="shared" ref="N175" si="110">K175/I175</f>
        <v>#DIV/0!</v>
      </c>
    </row>
    <row r="176" spans="2:14" s="10" customFormat="1" x14ac:dyDescent="0.3">
      <c r="B176" s="27"/>
      <c r="C176" s="17">
        <v>674</v>
      </c>
      <c r="D176" s="17"/>
      <c r="E176" s="17" t="s">
        <v>310</v>
      </c>
      <c r="F176" s="43">
        <f>SUM(F177:F178)</f>
        <v>0</v>
      </c>
      <c r="G176" s="43">
        <f t="shared" ref="G176:L176" si="111">SUM(G177:G178)</f>
        <v>0</v>
      </c>
      <c r="H176" s="43">
        <f t="shared" si="111"/>
        <v>0</v>
      </c>
      <c r="I176" s="43">
        <f t="shared" si="111"/>
        <v>0</v>
      </c>
      <c r="J176" s="43">
        <f t="shared" si="111"/>
        <v>0</v>
      </c>
      <c r="K176" s="43">
        <f t="shared" si="111"/>
        <v>0</v>
      </c>
      <c r="L176" s="43">
        <f t="shared" si="111"/>
        <v>0</v>
      </c>
      <c r="M176" s="35">
        <f t="shared" si="105"/>
        <v>0</v>
      </c>
      <c r="N176" s="43"/>
    </row>
    <row r="177" spans="2:14" x14ac:dyDescent="0.3">
      <c r="B177" s="27"/>
      <c r="C177" s="17"/>
      <c r="D177" s="3">
        <v>6741</v>
      </c>
      <c r="E177" s="3" t="s">
        <v>311</v>
      </c>
      <c r="F177" s="35"/>
      <c r="G177" s="35"/>
      <c r="H177" s="35"/>
      <c r="I177" s="35"/>
      <c r="J177" s="35"/>
      <c r="K177" s="35"/>
      <c r="L177" s="35"/>
      <c r="M177" s="35">
        <f t="shared" ref="M177:M179" si="112">K177-L177</f>
        <v>0</v>
      </c>
      <c r="N177" s="35" t="e">
        <f t="shared" ref="N177:N178" si="113">K177/I177</f>
        <v>#DIV/0!</v>
      </c>
    </row>
    <row r="178" spans="2:14" x14ac:dyDescent="0.3">
      <c r="B178" s="27"/>
      <c r="C178" s="17"/>
      <c r="D178" s="3">
        <v>6742</v>
      </c>
      <c r="E178" s="3" t="s">
        <v>312</v>
      </c>
      <c r="F178" s="35"/>
      <c r="G178" s="35"/>
      <c r="H178" s="35"/>
      <c r="I178" s="35"/>
      <c r="J178" s="35"/>
      <c r="K178" s="35"/>
      <c r="L178" s="35"/>
      <c r="M178" s="35">
        <f t="shared" si="112"/>
        <v>0</v>
      </c>
      <c r="N178" s="35" t="e">
        <f t="shared" si="113"/>
        <v>#DIV/0!</v>
      </c>
    </row>
    <row r="179" spans="2:14" s="10" customFormat="1" x14ac:dyDescent="0.3">
      <c r="B179" s="27"/>
      <c r="C179" s="17">
        <v>675</v>
      </c>
      <c r="D179" s="17"/>
      <c r="E179" s="17" t="s">
        <v>313</v>
      </c>
      <c r="F179" s="43">
        <f>SUM(F180:F182)</f>
        <v>0</v>
      </c>
      <c r="G179" s="43">
        <f t="shared" ref="G179:L179" si="114">SUM(G180:G182)</f>
        <v>0</v>
      </c>
      <c r="H179" s="43">
        <f t="shared" si="114"/>
        <v>0</v>
      </c>
      <c r="I179" s="43">
        <f t="shared" si="114"/>
        <v>0</v>
      </c>
      <c r="J179" s="43">
        <f t="shared" si="114"/>
        <v>0</v>
      </c>
      <c r="K179" s="43">
        <f t="shared" si="114"/>
        <v>0</v>
      </c>
      <c r="L179" s="43">
        <f t="shared" si="114"/>
        <v>0</v>
      </c>
      <c r="M179" s="35">
        <f t="shared" si="112"/>
        <v>0</v>
      </c>
      <c r="N179" s="43"/>
    </row>
    <row r="180" spans="2:14" x14ac:dyDescent="0.3">
      <c r="B180" s="27"/>
      <c r="C180" s="17"/>
      <c r="D180" s="3">
        <v>6751</v>
      </c>
      <c r="E180" s="3" t="s">
        <v>313</v>
      </c>
      <c r="F180" s="35"/>
      <c r="G180" s="35"/>
      <c r="H180" s="35"/>
      <c r="I180" s="35"/>
      <c r="J180" s="35"/>
      <c r="K180" s="35"/>
      <c r="L180" s="35"/>
      <c r="M180" s="35">
        <f t="shared" ref="M180:M183" si="115">K180-L180</f>
        <v>0</v>
      </c>
      <c r="N180" s="35" t="e">
        <f t="shared" ref="N180:N182" si="116">K180/I180</f>
        <v>#DIV/0!</v>
      </c>
    </row>
    <row r="181" spans="2:14" x14ac:dyDescent="0.3">
      <c r="B181" s="27"/>
      <c r="C181" s="17"/>
      <c r="D181" s="3">
        <v>6752</v>
      </c>
      <c r="E181" s="3" t="s">
        <v>314</v>
      </c>
      <c r="F181" s="35"/>
      <c r="G181" s="35"/>
      <c r="H181" s="35"/>
      <c r="I181" s="35"/>
      <c r="J181" s="35"/>
      <c r="K181" s="35"/>
      <c r="L181" s="35"/>
      <c r="M181" s="35">
        <f t="shared" si="115"/>
        <v>0</v>
      </c>
      <c r="N181" s="35" t="e">
        <f t="shared" si="116"/>
        <v>#DIV/0!</v>
      </c>
    </row>
    <row r="182" spans="2:14" x14ac:dyDescent="0.3">
      <c r="B182" s="27"/>
      <c r="C182" s="17"/>
      <c r="D182" s="3">
        <v>6753</v>
      </c>
      <c r="E182" s="3" t="s">
        <v>315</v>
      </c>
      <c r="F182" s="35"/>
      <c r="G182" s="35"/>
      <c r="H182" s="35"/>
      <c r="I182" s="35"/>
      <c r="J182" s="35"/>
      <c r="K182" s="35"/>
      <c r="L182" s="35"/>
      <c r="M182" s="35">
        <f t="shared" si="115"/>
        <v>0</v>
      </c>
      <c r="N182" s="35" t="e">
        <f t="shared" si="116"/>
        <v>#DIV/0!</v>
      </c>
    </row>
    <row r="183" spans="2:14" s="10" customFormat="1" x14ac:dyDescent="0.3">
      <c r="B183" s="27"/>
      <c r="C183" s="17">
        <v>678</v>
      </c>
      <c r="D183" s="17"/>
      <c r="E183" s="17" t="s">
        <v>316</v>
      </c>
      <c r="F183" s="43">
        <f>SUM(F184:F186)</f>
        <v>0</v>
      </c>
      <c r="G183" s="43">
        <f t="shared" ref="G183:L183" si="117">SUM(G184:G186)</f>
        <v>0</v>
      </c>
      <c r="H183" s="43">
        <f t="shared" si="117"/>
        <v>0</v>
      </c>
      <c r="I183" s="43">
        <f t="shared" si="117"/>
        <v>0</v>
      </c>
      <c r="J183" s="43">
        <f t="shared" si="117"/>
        <v>0</v>
      </c>
      <c r="K183" s="43">
        <f t="shared" si="117"/>
        <v>0</v>
      </c>
      <c r="L183" s="43">
        <f t="shared" si="117"/>
        <v>0</v>
      </c>
      <c r="M183" s="35">
        <f t="shared" si="115"/>
        <v>0</v>
      </c>
      <c r="N183" s="43"/>
    </row>
    <row r="184" spans="2:14" x14ac:dyDescent="0.3">
      <c r="B184" s="27"/>
      <c r="C184" s="17"/>
      <c r="D184" s="3">
        <v>6781</v>
      </c>
      <c r="E184" s="3" t="s">
        <v>317</v>
      </c>
      <c r="F184" s="35"/>
      <c r="G184" s="35"/>
      <c r="H184" s="35"/>
      <c r="I184" s="35"/>
      <c r="J184" s="35"/>
      <c r="K184" s="35"/>
      <c r="L184" s="35"/>
      <c r="M184" s="35">
        <f t="shared" ref="M184:M186" si="118">K184-L184</f>
        <v>0</v>
      </c>
      <c r="N184" s="35" t="e">
        <f t="shared" ref="N184:N186" si="119">K184/I184</f>
        <v>#DIV/0!</v>
      </c>
    </row>
    <row r="185" spans="2:14" x14ac:dyDescent="0.3">
      <c r="B185" s="27"/>
      <c r="C185" s="17"/>
      <c r="D185" s="3">
        <v>6782</v>
      </c>
      <c r="E185" s="3" t="s">
        <v>318</v>
      </c>
      <c r="F185" s="35"/>
      <c r="G185" s="35"/>
      <c r="H185" s="35"/>
      <c r="I185" s="35"/>
      <c r="J185" s="35"/>
      <c r="K185" s="35"/>
      <c r="L185" s="35"/>
      <c r="M185" s="35">
        <f t="shared" si="118"/>
        <v>0</v>
      </c>
      <c r="N185" s="35" t="e">
        <f t="shared" si="119"/>
        <v>#DIV/0!</v>
      </c>
    </row>
    <row r="186" spans="2:14" x14ac:dyDescent="0.3">
      <c r="B186" s="27"/>
      <c r="C186" s="17"/>
      <c r="D186" s="3">
        <v>6788</v>
      </c>
      <c r="E186" s="3" t="s">
        <v>95</v>
      </c>
      <c r="F186" s="35"/>
      <c r="G186" s="35"/>
      <c r="H186" s="35"/>
      <c r="I186" s="35"/>
      <c r="J186" s="35"/>
      <c r="K186" s="35"/>
      <c r="L186" s="35"/>
      <c r="M186" s="35">
        <f t="shared" si="118"/>
        <v>0</v>
      </c>
      <c r="N186" s="35" t="e">
        <f t="shared" si="119"/>
        <v>#DIV/0!</v>
      </c>
    </row>
    <row r="187" spans="2:14" s="10" customFormat="1" ht="30" customHeight="1" x14ac:dyDescent="0.3">
      <c r="B187" s="29"/>
      <c r="C187" s="2"/>
      <c r="D187" s="2"/>
      <c r="E187" s="2" t="s">
        <v>162</v>
      </c>
      <c r="F187" s="38">
        <f>F10+F29+F60+F112+F121+F132+F150+F165</f>
        <v>0</v>
      </c>
      <c r="G187" s="38">
        <f t="shared" ref="G187:M187" si="120">G10+G29+G60+G112+G121+G132+G150+G165</f>
        <v>0</v>
      </c>
      <c r="H187" s="38">
        <f t="shared" si="120"/>
        <v>0</v>
      </c>
      <c r="I187" s="38">
        <f t="shared" si="120"/>
        <v>0</v>
      </c>
      <c r="J187" s="38">
        <f t="shared" si="120"/>
        <v>0</v>
      </c>
      <c r="K187" s="38">
        <f t="shared" si="120"/>
        <v>0</v>
      </c>
      <c r="L187" s="38">
        <f t="shared" si="120"/>
        <v>0</v>
      </c>
      <c r="M187" s="38">
        <f t="shared" si="120"/>
        <v>0</v>
      </c>
      <c r="N187" s="43" t="e">
        <f>K187/I187</f>
        <v>#DIV/0!</v>
      </c>
    </row>
    <row r="188" spans="2:14" s="10" customFormat="1" ht="30" customHeight="1" x14ac:dyDescent="0.3">
      <c r="B188" s="27">
        <v>12</v>
      </c>
      <c r="C188" s="17"/>
      <c r="D188" s="17"/>
      <c r="E188" s="17" t="s">
        <v>161</v>
      </c>
      <c r="F188" s="43"/>
      <c r="G188" s="43"/>
      <c r="H188" s="43"/>
      <c r="I188" s="43"/>
      <c r="J188" s="43"/>
      <c r="K188" s="43"/>
      <c r="L188" s="43"/>
      <c r="M188" s="43">
        <f>K188-L188</f>
        <v>0</v>
      </c>
      <c r="N188" s="43"/>
    </row>
    <row r="189" spans="2:14" s="10" customFormat="1" ht="30" customHeight="1" x14ac:dyDescent="0.3">
      <c r="B189" s="29"/>
      <c r="C189" s="2"/>
      <c r="D189" s="2"/>
      <c r="E189" s="2" t="s">
        <v>163</v>
      </c>
      <c r="F189" s="38">
        <f>SUM(F188)</f>
        <v>0</v>
      </c>
      <c r="G189" s="38">
        <f t="shared" ref="G189:M189" si="121">SUM(G188)</f>
        <v>0</v>
      </c>
      <c r="H189" s="38">
        <f t="shared" si="121"/>
        <v>0</v>
      </c>
      <c r="I189" s="38">
        <f t="shared" si="121"/>
        <v>0</v>
      </c>
      <c r="J189" s="38">
        <f t="shared" si="121"/>
        <v>0</v>
      </c>
      <c r="K189" s="38">
        <f t="shared" si="121"/>
        <v>0</v>
      </c>
      <c r="L189" s="38">
        <f t="shared" si="121"/>
        <v>0</v>
      </c>
      <c r="M189" s="38">
        <f t="shared" si="121"/>
        <v>0</v>
      </c>
      <c r="N189" s="43" t="e">
        <f>K189/I189</f>
        <v>#DIV/0!</v>
      </c>
    </row>
    <row r="190" spans="2:14" s="10" customFormat="1" ht="30" customHeight="1" x14ac:dyDescent="0.3">
      <c r="B190" s="29"/>
      <c r="C190" s="2"/>
      <c r="D190" s="2"/>
      <c r="E190" s="2" t="s">
        <v>98</v>
      </c>
      <c r="F190" s="38">
        <f>F187+F189</f>
        <v>0</v>
      </c>
      <c r="G190" s="38">
        <f t="shared" ref="G190:M190" si="122">G187+G189</f>
        <v>0</v>
      </c>
      <c r="H190" s="38">
        <f t="shared" si="122"/>
        <v>0</v>
      </c>
      <c r="I190" s="38">
        <f t="shared" si="122"/>
        <v>0</v>
      </c>
      <c r="J190" s="38">
        <f t="shared" si="122"/>
        <v>0</v>
      </c>
      <c r="K190" s="38">
        <f t="shared" si="122"/>
        <v>0</v>
      </c>
      <c r="L190" s="38">
        <f t="shared" si="122"/>
        <v>0</v>
      </c>
      <c r="M190" s="38">
        <f t="shared" si="122"/>
        <v>0</v>
      </c>
      <c r="N190" s="43" t="e">
        <f>K190/I190</f>
        <v>#DIV/0!</v>
      </c>
    </row>
    <row r="192" spans="2:14" ht="28.95" customHeight="1" x14ac:dyDescent="0.3">
      <c r="B192" s="71" t="s">
        <v>165</v>
      </c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</row>
    <row r="193" spans="2:14" s="11" customFormat="1" ht="28.8" x14ac:dyDescent="0.3">
      <c r="B193" s="26" t="s">
        <v>138</v>
      </c>
      <c r="C193" s="46"/>
      <c r="D193" s="49"/>
      <c r="E193" s="47" t="s">
        <v>150</v>
      </c>
      <c r="F193" s="41" t="s">
        <v>139</v>
      </c>
      <c r="G193" s="41" t="s">
        <v>140</v>
      </c>
      <c r="H193" s="41" t="s">
        <v>141</v>
      </c>
      <c r="I193" s="41" t="s">
        <v>142</v>
      </c>
      <c r="J193" s="41" t="s">
        <v>171</v>
      </c>
      <c r="K193" s="41" t="s">
        <v>172</v>
      </c>
      <c r="L193" s="41" t="s">
        <v>173</v>
      </c>
      <c r="M193" s="41" t="s">
        <v>174</v>
      </c>
      <c r="N193" s="41" t="s">
        <v>396</v>
      </c>
    </row>
    <row r="194" spans="2:14" s="10" customFormat="1" ht="30" customHeight="1" x14ac:dyDescent="0.3">
      <c r="B194" s="27">
        <v>16</v>
      </c>
      <c r="C194" s="17"/>
      <c r="D194" s="17"/>
      <c r="E194" s="17" t="s">
        <v>166</v>
      </c>
      <c r="F194" s="43">
        <f>SUM(F195,F198,F201,F203,F205)</f>
        <v>0</v>
      </c>
      <c r="G194" s="43">
        <f t="shared" ref="G194:M194" si="123">SUM(G195,G198,G201,G203,G205)</f>
        <v>0</v>
      </c>
      <c r="H194" s="43">
        <f t="shared" si="123"/>
        <v>0</v>
      </c>
      <c r="I194" s="43">
        <f t="shared" si="123"/>
        <v>0</v>
      </c>
      <c r="J194" s="43">
        <f t="shared" si="123"/>
        <v>0</v>
      </c>
      <c r="K194" s="43">
        <f t="shared" si="123"/>
        <v>0</v>
      </c>
      <c r="L194" s="43">
        <f t="shared" si="123"/>
        <v>0</v>
      </c>
      <c r="M194" s="43">
        <f t="shared" si="123"/>
        <v>0</v>
      </c>
      <c r="N194" s="43" t="e">
        <f>K194/I194</f>
        <v>#DIV/0!</v>
      </c>
    </row>
    <row r="195" spans="2:14" s="10" customFormat="1" x14ac:dyDescent="0.3">
      <c r="B195" s="27"/>
      <c r="C195" s="17">
        <v>161</v>
      </c>
      <c r="D195" s="17"/>
      <c r="E195" s="17" t="s">
        <v>320</v>
      </c>
      <c r="F195" s="43">
        <f>SUM(F196:F197)</f>
        <v>0</v>
      </c>
      <c r="G195" s="43">
        <f t="shared" ref="G195:L195" si="124">SUM(G196:G197)</f>
        <v>0</v>
      </c>
      <c r="H195" s="43">
        <f t="shared" si="124"/>
        <v>0</v>
      </c>
      <c r="I195" s="43">
        <f t="shared" si="124"/>
        <v>0</v>
      </c>
      <c r="J195" s="43">
        <f t="shared" si="124"/>
        <v>0</v>
      </c>
      <c r="K195" s="43">
        <f t="shared" si="124"/>
        <v>0</v>
      </c>
      <c r="L195" s="43">
        <f t="shared" si="124"/>
        <v>0</v>
      </c>
      <c r="M195" s="35">
        <f t="shared" ref="M195:M198" si="125">K195-L195</f>
        <v>0</v>
      </c>
      <c r="N195" s="43"/>
    </row>
    <row r="196" spans="2:14" x14ac:dyDescent="0.3">
      <c r="B196" s="27"/>
      <c r="C196" s="17"/>
      <c r="D196" s="3">
        <v>1611</v>
      </c>
      <c r="E196" s="3" t="s">
        <v>321</v>
      </c>
      <c r="F196" s="35"/>
      <c r="G196" s="35"/>
      <c r="H196" s="35"/>
      <c r="I196" s="35"/>
      <c r="J196" s="35"/>
      <c r="K196" s="35"/>
      <c r="L196" s="35"/>
      <c r="M196" s="35">
        <f t="shared" si="125"/>
        <v>0</v>
      </c>
      <c r="N196" s="35" t="e">
        <f t="shared" ref="N196:N197" si="126">K196/I196</f>
        <v>#DIV/0!</v>
      </c>
    </row>
    <row r="197" spans="2:14" x14ac:dyDescent="0.3">
      <c r="B197" s="27"/>
      <c r="C197" s="17"/>
      <c r="D197" s="3">
        <v>1612</v>
      </c>
      <c r="E197" s="3" t="s">
        <v>322</v>
      </c>
      <c r="F197" s="35"/>
      <c r="G197" s="35"/>
      <c r="H197" s="35"/>
      <c r="I197" s="35"/>
      <c r="J197" s="35"/>
      <c r="K197" s="35"/>
      <c r="L197" s="35"/>
      <c r="M197" s="35">
        <f t="shared" si="125"/>
        <v>0</v>
      </c>
      <c r="N197" s="35" t="e">
        <f t="shared" si="126"/>
        <v>#DIV/0!</v>
      </c>
    </row>
    <row r="198" spans="2:14" s="10" customFormat="1" x14ac:dyDescent="0.3">
      <c r="B198" s="27"/>
      <c r="C198" s="17">
        <v>162</v>
      </c>
      <c r="D198" s="17"/>
      <c r="E198" s="17" t="s">
        <v>323</v>
      </c>
      <c r="F198" s="43">
        <f>SUM(F199:F200)</f>
        <v>0</v>
      </c>
      <c r="G198" s="43">
        <f t="shared" ref="G198:L198" si="127">SUM(G199:G200)</f>
        <v>0</v>
      </c>
      <c r="H198" s="43">
        <f t="shared" si="127"/>
        <v>0</v>
      </c>
      <c r="I198" s="43">
        <f t="shared" si="127"/>
        <v>0</v>
      </c>
      <c r="J198" s="43">
        <f t="shared" si="127"/>
        <v>0</v>
      </c>
      <c r="K198" s="43">
        <f t="shared" si="127"/>
        <v>0</v>
      </c>
      <c r="L198" s="43">
        <f t="shared" si="127"/>
        <v>0</v>
      </c>
      <c r="M198" s="35">
        <f t="shared" si="125"/>
        <v>0</v>
      </c>
      <c r="N198" s="43"/>
    </row>
    <row r="199" spans="2:14" x14ac:dyDescent="0.3">
      <c r="B199" s="27"/>
      <c r="C199" s="17"/>
      <c r="D199" s="3">
        <v>1621</v>
      </c>
      <c r="E199" s="3" t="s">
        <v>321</v>
      </c>
      <c r="F199" s="35"/>
      <c r="G199" s="35"/>
      <c r="H199" s="35"/>
      <c r="I199" s="35"/>
      <c r="J199" s="35"/>
      <c r="K199" s="35"/>
      <c r="L199" s="35"/>
      <c r="M199" s="35">
        <f t="shared" ref="M199:M201" si="128">K199-L199</f>
        <v>0</v>
      </c>
      <c r="N199" s="35" t="e">
        <f t="shared" ref="N199:N200" si="129">K199/I199</f>
        <v>#DIV/0!</v>
      </c>
    </row>
    <row r="200" spans="2:14" x14ac:dyDescent="0.3">
      <c r="B200" s="27"/>
      <c r="C200" s="17"/>
      <c r="D200" s="3">
        <v>1622</v>
      </c>
      <c r="E200" s="3" t="s">
        <v>322</v>
      </c>
      <c r="F200" s="35"/>
      <c r="G200" s="35"/>
      <c r="H200" s="35"/>
      <c r="I200" s="35"/>
      <c r="J200" s="35"/>
      <c r="K200" s="35"/>
      <c r="L200" s="35"/>
      <c r="M200" s="35">
        <f t="shared" si="128"/>
        <v>0</v>
      </c>
      <c r="N200" s="35" t="e">
        <f t="shared" si="129"/>
        <v>#DIV/0!</v>
      </c>
    </row>
    <row r="201" spans="2:14" s="10" customFormat="1" x14ac:dyDescent="0.3">
      <c r="B201" s="27"/>
      <c r="C201" s="17">
        <v>165</v>
      </c>
      <c r="D201" s="17"/>
      <c r="E201" s="17" t="s">
        <v>324</v>
      </c>
      <c r="F201" s="43">
        <f>SUM(F202)</f>
        <v>0</v>
      </c>
      <c r="G201" s="43">
        <f t="shared" ref="G201:L201" si="130">SUM(G202)</f>
        <v>0</v>
      </c>
      <c r="H201" s="43">
        <f t="shared" si="130"/>
        <v>0</v>
      </c>
      <c r="I201" s="43">
        <f t="shared" si="130"/>
        <v>0</v>
      </c>
      <c r="J201" s="43">
        <f t="shared" si="130"/>
        <v>0</v>
      </c>
      <c r="K201" s="43">
        <f t="shared" si="130"/>
        <v>0</v>
      </c>
      <c r="L201" s="43">
        <f t="shared" si="130"/>
        <v>0</v>
      </c>
      <c r="M201" s="35">
        <f t="shared" si="128"/>
        <v>0</v>
      </c>
      <c r="N201" s="43"/>
    </row>
    <row r="202" spans="2:14" x14ac:dyDescent="0.3">
      <c r="B202" s="27"/>
      <c r="C202" s="17"/>
      <c r="D202" s="3">
        <v>1650</v>
      </c>
      <c r="E202" s="3" t="s">
        <v>324</v>
      </c>
      <c r="F202" s="35"/>
      <c r="G202" s="35"/>
      <c r="H202" s="35"/>
      <c r="I202" s="35"/>
      <c r="J202" s="35"/>
      <c r="K202" s="35"/>
      <c r="L202" s="35"/>
      <c r="M202" s="35">
        <f>K202-L202</f>
        <v>0</v>
      </c>
      <c r="N202" s="35" t="e">
        <f t="shared" ref="N202" si="131">K202/I202</f>
        <v>#DIV/0!</v>
      </c>
    </row>
    <row r="203" spans="2:14" s="10" customFormat="1" x14ac:dyDescent="0.3">
      <c r="B203" s="27"/>
      <c r="C203" s="17">
        <v>167</v>
      </c>
      <c r="D203" s="17"/>
      <c r="E203" s="17" t="s">
        <v>325</v>
      </c>
      <c r="F203" s="43">
        <f>SUM(F204)</f>
        <v>0</v>
      </c>
      <c r="G203" s="43">
        <f t="shared" ref="G203:L203" si="132">SUM(G204)</f>
        <v>0</v>
      </c>
      <c r="H203" s="43">
        <f t="shared" si="132"/>
        <v>0</v>
      </c>
      <c r="I203" s="43">
        <f t="shared" si="132"/>
        <v>0</v>
      </c>
      <c r="J203" s="43">
        <f t="shared" si="132"/>
        <v>0</v>
      </c>
      <c r="K203" s="43">
        <f t="shared" si="132"/>
        <v>0</v>
      </c>
      <c r="L203" s="43">
        <f t="shared" si="132"/>
        <v>0</v>
      </c>
      <c r="M203" s="35">
        <f t="shared" ref="M203" si="133">K203-L203</f>
        <v>0</v>
      </c>
      <c r="N203" s="43"/>
    </row>
    <row r="204" spans="2:14" x14ac:dyDescent="0.3">
      <c r="B204" s="27"/>
      <c r="C204" s="17"/>
      <c r="D204" s="3">
        <v>1670</v>
      </c>
      <c r="E204" s="3" t="s">
        <v>325</v>
      </c>
      <c r="F204" s="35"/>
      <c r="G204" s="35"/>
      <c r="H204" s="35"/>
      <c r="I204" s="35"/>
      <c r="J204" s="35"/>
      <c r="K204" s="35"/>
      <c r="L204" s="35"/>
      <c r="M204" s="35">
        <f>K204-L204</f>
        <v>0</v>
      </c>
      <c r="N204" s="35" t="e">
        <f t="shared" ref="N204" si="134">K204/I204</f>
        <v>#DIV/0!</v>
      </c>
    </row>
    <row r="205" spans="2:14" s="10" customFormat="1" x14ac:dyDescent="0.3">
      <c r="B205" s="27"/>
      <c r="C205" s="17">
        <v>168</v>
      </c>
      <c r="D205" s="17"/>
      <c r="E205" s="17" t="s">
        <v>326</v>
      </c>
      <c r="F205" s="43">
        <f>SUM(F206:F207)</f>
        <v>0</v>
      </c>
      <c r="G205" s="43">
        <f t="shared" ref="G205:L205" si="135">SUM(G206:G207)</f>
        <v>0</v>
      </c>
      <c r="H205" s="43">
        <f t="shared" si="135"/>
        <v>0</v>
      </c>
      <c r="I205" s="43">
        <f t="shared" si="135"/>
        <v>0</v>
      </c>
      <c r="J205" s="43">
        <f t="shared" si="135"/>
        <v>0</v>
      </c>
      <c r="K205" s="43">
        <f t="shared" si="135"/>
        <v>0</v>
      </c>
      <c r="L205" s="43">
        <f t="shared" si="135"/>
        <v>0</v>
      </c>
      <c r="M205" s="35">
        <f t="shared" ref="M205" si="136">K205-L205</f>
        <v>0</v>
      </c>
      <c r="N205" s="43"/>
    </row>
    <row r="206" spans="2:14" x14ac:dyDescent="0.3">
      <c r="B206" s="27"/>
      <c r="C206" s="17"/>
      <c r="D206" s="3">
        <v>1680</v>
      </c>
      <c r="E206" s="3" t="s">
        <v>326</v>
      </c>
      <c r="F206" s="35"/>
      <c r="G206" s="35"/>
      <c r="H206" s="35"/>
      <c r="I206" s="35"/>
      <c r="J206" s="35"/>
      <c r="K206" s="35"/>
      <c r="L206" s="35"/>
      <c r="M206" s="35">
        <f t="shared" ref="M206:M207" si="137">K206-L206</f>
        <v>0</v>
      </c>
      <c r="N206" s="35" t="e">
        <f t="shared" ref="N206:N207" si="138">K206/I206</f>
        <v>#DIV/0!</v>
      </c>
    </row>
    <row r="207" spans="2:14" x14ac:dyDescent="0.3">
      <c r="B207" s="27"/>
      <c r="C207" s="17"/>
      <c r="D207" s="3">
        <v>1688</v>
      </c>
      <c r="E207" s="3" t="s">
        <v>327</v>
      </c>
      <c r="F207" s="35"/>
      <c r="G207" s="35"/>
      <c r="H207" s="35"/>
      <c r="I207" s="35"/>
      <c r="J207" s="35"/>
      <c r="K207" s="35"/>
      <c r="L207" s="35"/>
      <c r="M207" s="35">
        <f t="shared" si="137"/>
        <v>0</v>
      </c>
      <c r="N207" s="35" t="e">
        <f t="shared" si="138"/>
        <v>#DIV/0!</v>
      </c>
    </row>
    <row r="208" spans="2:14" s="10" customFormat="1" ht="30" customHeight="1" x14ac:dyDescent="0.3">
      <c r="B208" s="27">
        <v>20</v>
      </c>
      <c r="C208" s="17"/>
      <c r="D208" s="17"/>
      <c r="E208" s="17" t="s">
        <v>167</v>
      </c>
      <c r="F208" s="43">
        <f>SUM(F209,F218,F221)</f>
        <v>0</v>
      </c>
      <c r="G208" s="43">
        <f t="shared" ref="G208:M208" si="139">SUM(G209,G218,G221)</f>
        <v>0</v>
      </c>
      <c r="H208" s="43">
        <f t="shared" si="139"/>
        <v>0</v>
      </c>
      <c r="I208" s="43">
        <f t="shared" si="139"/>
        <v>0</v>
      </c>
      <c r="J208" s="43">
        <f t="shared" si="139"/>
        <v>0</v>
      </c>
      <c r="K208" s="43">
        <f t="shared" si="139"/>
        <v>0</v>
      </c>
      <c r="L208" s="43">
        <f t="shared" si="139"/>
        <v>0</v>
      </c>
      <c r="M208" s="43">
        <f t="shared" si="139"/>
        <v>0</v>
      </c>
      <c r="N208" s="43" t="e">
        <f>K208/I208</f>
        <v>#DIV/0!</v>
      </c>
    </row>
    <row r="209" spans="2:14" s="10" customFormat="1" x14ac:dyDescent="0.3">
      <c r="B209" s="27"/>
      <c r="C209" s="17">
        <v>201</v>
      </c>
      <c r="D209" s="17"/>
      <c r="E209" s="17" t="s">
        <v>125</v>
      </c>
      <c r="F209" s="43">
        <f>SUM(F210:F217)</f>
        <v>0</v>
      </c>
      <c r="G209" s="43">
        <f t="shared" ref="G209:L209" si="140">SUM(G210:G217)</f>
        <v>0</v>
      </c>
      <c r="H209" s="43">
        <f t="shared" si="140"/>
        <v>0</v>
      </c>
      <c r="I209" s="43">
        <f t="shared" si="140"/>
        <v>0</v>
      </c>
      <c r="J209" s="43">
        <f t="shared" si="140"/>
        <v>0</v>
      </c>
      <c r="K209" s="43">
        <f t="shared" si="140"/>
        <v>0</v>
      </c>
      <c r="L209" s="43">
        <f t="shared" si="140"/>
        <v>0</v>
      </c>
      <c r="M209" s="35">
        <f t="shared" ref="M209" si="141">K209-L209</f>
        <v>0</v>
      </c>
      <c r="N209" s="43"/>
    </row>
    <row r="210" spans="2:14" x14ac:dyDescent="0.3">
      <c r="B210" s="27"/>
      <c r="C210" s="17"/>
      <c r="D210" s="3">
        <v>2011</v>
      </c>
      <c r="E210" s="3" t="s">
        <v>328</v>
      </c>
      <c r="F210" s="35"/>
      <c r="G210" s="35"/>
      <c r="H210" s="35"/>
      <c r="I210" s="35"/>
      <c r="J210" s="35"/>
      <c r="K210" s="35"/>
      <c r="L210" s="35"/>
      <c r="M210" s="35">
        <f t="shared" ref="M210:M218" si="142">K210-L210</f>
        <v>0</v>
      </c>
      <c r="N210" s="35" t="e">
        <f t="shared" ref="N210:N217" si="143">K210/I210</f>
        <v>#DIV/0!</v>
      </c>
    </row>
    <row r="211" spans="2:14" x14ac:dyDescent="0.3">
      <c r="B211" s="27"/>
      <c r="C211" s="17"/>
      <c r="D211" s="3">
        <v>2012</v>
      </c>
      <c r="E211" s="3" t="s">
        <v>329</v>
      </c>
      <c r="F211" s="35"/>
      <c r="G211" s="35"/>
      <c r="H211" s="35"/>
      <c r="I211" s="35"/>
      <c r="J211" s="35"/>
      <c r="K211" s="35"/>
      <c r="L211" s="35"/>
      <c r="M211" s="35">
        <f t="shared" si="142"/>
        <v>0</v>
      </c>
      <c r="N211" s="35" t="e">
        <f t="shared" si="143"/>
        <v>#DIV/0!</v>
      </c>
    </row>
    <row r="212" spans="2:14" x14ac:dyDescent="0.3">
      <c r="B212" s="27"/>
      <c r="C212" s="17"/>
      <c r="D212" s="3">
        <v>2013</v>
      </c>
      <c r="E212" s="3" t="s">
        <v>330</v>
      </c>
      <c r="F212" s="35"/>
      <c r="G212" s="35"/>
      <c r="H212" s="35"/>
      <c r="I212" s="35"/>
      <c r="J212" s="35"/>
      <c r="K212" s="35"/>
      <c r="L212" s="35"/>
      <c r="M212" s="35">
        <f t="shared" si="142"/>
        <v>0</v>
      </c>
      <c r="N212" s="35" t="e">
        <f t="shared" si="143"/>
        <v>#DIV/0!</v>
      </c>
    </row>
    <row r="213" spans="2:14" x14ac:dyDescent="0.3">
      <c r="B213" s="27"/>
      <c r="C213" s="17"/>
      <c r="D213" s="3">
        <v>2014</v>
      </c>
      <c r="E213" s="3" t="s">
        <v>331</v>
      </c>
      <c r="F213" s="35"/>
      <c r="G213" s="35"/>
      <c r="H213" s="35"/>
      <c r="I213" s="35"/>
      <c r="J213" s="35"/>
      <c r="K213" s="35"/>
      <c r="L213" s="35"/>
      <c r="M213" s="35">
        <f t="shared" si="142"/>
        <v>0</v>
      </c>
      <c r="N213" s="35" t="e">
        <f t="shared" si="143"/>
        <v>#DIV/0!</v>
      </c>
    </row>
    <row r="214" spans="2:14" x14ac:dyDescent="0.3">
      <c r="B214" s="27"/>
      <c r="C214" s="17"/>
      <c r="D214" s="3">
        <v>2015</v>
      </c>
      <c r="E214" s="3" t="s">
        <v>332</v>
      </c>
      <c r="F214" s="35"/>
      <c r="G214" s="35"/>
      <c r="H214" s="35"/>
      <c r="I214" s="35"/>
      <c r="J214" s="35"/>
      <c r="K214" s="35"/>
      <c r="L214" s="35"/>
      <c r="M214" s="35">
        <f t="shared" si="142"/>
        <v>0</v>
      </c>
      <c r="N214" s="35" t="e">
        <f t="shared" si="143"/>
        <v>#DIV/0!</v>
      </c>
    </row>
    <row r="215" spans="2:14" x14ac:dyDescent="0.3">
      <c r="B215" s="27"/>
      <c r="C215" s="17"/>
      <c r="D215" s="3">
        <v>2016</v>
      </c>
      <c r="E215" s="3" t="s">
        <v>333</v>
      </c>
      <c r="F215" s="35"/>
      <c r="G215" s="35"/>
      <c r="H215" s="35"/>
      <c r="I215" s="35"/>
      <c r="J215" s="35"/>
      <c r="K215" s="35"/>
      <c r="L215" s="35"/>
      <c r="M215" s="35">
        <f t="shared" si="142"/>
        <v>0</v>
      </c>
      <c r="N215" s="35" t="e">
        <f t="shared" si="143"/>
        <v>#DIV/0!</v>
      </c>
    </row>
    <row r="216" spans="2:14" x14ac:dyDescent="0.3">
      <c r="B216" s="27"/>
      <c r="C216" s="17"/>
      <c r="D216" s="3">
        <v>2017</v>
      </c>
      <c r="E216" s="3" t="s">
        <v>334</v>
      </c>
      <c r="F216" s="35"/>
      <c r="G216" s="35"/>
      <c r="H216" s="35"/>
      <c r="I216" s="35"/>
      <c r="J216" s="35"/>
      <c r="K216" s="35"/>
      <c r="L216" s="35"/>
      <c r="M216" s="35">
        <f t="shared" si="142"/>
        <v>0</v>
      </c>
      <c r="N216" s="35" t="e">
        <f t="shared" si="143"/>
        <v>#DIV/0!</v>
      </c>
    </row>
    <row r="217" spans="2:14" x14ac:dyDescent="0.3">
      <c r="B217" s="27"/>
      <c r="C217" s="17"/>
      <c r="D217" s="3">
        <v>2018</v>
      </c>
      <c r="E217" s="3" t="s">
        <v>95</v>
      </c>
      <c r="F217" s="35"/>
      <c r="G217" s="35"/>
      <c r="H217" s="35"/>
      <c r="I217" s="35"/>
      <c r="J217" s="35"/>
      <c r="K217" s="35"/>
      <c r="L217" s="35"/>
      <c r="M217" s="35">
        <f t="shared" si="142"/>
        <v>0</v>
      </c>
      <c r="N217" s="35" t="e">
        <f t="shared" si="143"/>
        <v>#DIV/0!</v>
      </c>
    </row>
    <row r="218" spans="2:14" s="10" customFormat="1" x14ac:dyDescent="0.3">
      <c r="B218" s="27"/>
      <c r="C218" s="17">
        <v>205</v>
      </c>
      <c r="D218" s="17"/>
      <c r="E218" s="17" t="s">
        <v>335</v>
      </c>
      <c r="F218" s="43">
        <f>SUM(F219:F220)</f>
        <v>0</v>
      </c>
      <c r="G218" s="43">
        <f t="shared" ref="G218:L218" si="144">SUM(G219:G220)</f>
        <v>0</v>
      </c>
      <c r="H218" s="43">
        <f t="shared" si="144"/>
        <v>0</v>
      </c>
      <c r="I218" s="43">
        <f t="shared" si="144"/>
        <v>0</v>
      </c>
      <c r="J218" s="43">
        <f t="shared" si="144"/>
        <v>0</v>
      </c>
      <c r="K218" s="43">
        <f t="shared" si="144"/>
        <v>0</v>
      </c>
      <c r="L218" s="43">
        <f t="shared" si="144"/>
        <v>0</v>
      </c>
      <c r="M218" s="35">
        <f t="shared" si="142"/>
        <v>0</v>
      </c>
      <c r="N218" s="43"/>
    </row>
    <row r="219" spans="2:14" x14ac:dyDescent="0.3">
      <c r="B219" s="27"/>
      <c r="C219" s="17"/>
      <c r="D219" s="3">
        <v>2051</v>
      </c>
      <c r="E219" s="3" t="s">
        <v>336</v>
      </c>
      <c r="F219" s="35"/>
      <c r="G219" s="35"/>
      <c r="H219" s="35"/>
      <c r="I219" s="35"/>
      <c r="J219" s="35"/>
      <c r="K219" s="35"/>
      <c r="L219" s="35"/>
      <c r="M219" s="35">
        <f t="shared" ref="M219:M221" si="145">K219-L219</f>
        <v>0</v>
      </c>
      <c r="N219" s="35" t="e">
        <f t="shared" ref="N219:N220" si="146">K219/I219</f>
        <v>#DIV/0!</v>
      </c>
    </row>
    <row r="220" spans="2:14" x14ac:dyDescent="0.3">
      <c r="B220" s="27"/>
      <c r="C220" s="17"/>
      <c r="D220" s="3">
        <v>2052</v>
      </c>
      <c r="E220" s="3" t="s">
        <v>337</v>
      </c>
      <c r="F220" s="35"/>
      <c r="G220" s="35"/>
      <c r="H220" s="35"/>
      <c r="I220" s="35"/>
      <c r="J220" s="35"/>
      <c r="K220" s="35"/>
      <c r="L220" s="35"/>
      <c r="M220" s="35">
        <f t="shared" si="145"/>
        <v>0</v>
      </c>
      <c r="N220" s="35" t="e">
        <f t="shared" si="146"/>
        <v>#DIV/0!</v>
      </c>
    </row>
    <row r="221" spans="2:14" s="10" customFormat="1" x14ac:dyDescent="0.3">
      <c r="B221" s="27"/>
      <c r="C221" s="17">
        <v>208</v>
      </c>
      <c r="D221" s="17"/>
      <c r="E221" s="17" t="s">
        <v>338</v>
      </c>
      <c r="F221" s="43">
        <f>SUM(F222)</f>
        <v>0</v>
      </c>
      <c r="G221" s="43">
        <f t="shared" ref="G221:L221" si="147">SUM(G222)</f>
        <v>0</v>
      </c>
      <c r="H221" s="43">
        <f t="shared" si="147"/>
        <v>0</v>
      </c>
      <c r="I221" s="43">
        <f t="shared" si="147"/>
        <v>0</v>
      </c>
      <c r="J221" s="43">
        <f t="shared" si="147"/>
        <v>0</v>
      </c>
      <c r="K221" s="43">
        <f t="shared" si="147"/>
        <v>0</v>
      </c>
      <c r="L221" s="43">
        <f t="shared" si="147"/>
        <v>0</v>
      </c>
      <c r="M221" s="35">
        <f t="shared" si="145"/>
        <v>0</v>
      </c>
      <c r="N221" s="43"/>
    </row>
    <row r="222" spans="2:14" x14ac:dyDescent="0.3">
      <c r="B222" s="27"/>
      <c r="C222" s="17"/>
      <c r="D222" s="3">
        <v>2080</v>
      </c>
      <c r="E222" s="3" t="s">
        <v>338</v>
      </c>
      <c r="F222" s="35"/>
      <c r="G222" s="35"/>
      <c r="H222" s="35"/>
      <c r="I222" s="35"/>
      <c r="J222" s="35"/>
      <c r="K222" s="35"/>
      <c r="L222" s="35"/>
      <c r="M222" s="35">
        <f>K222-L222</f>
        <v>0</v>
      </c>
      <c r="N222" s="35" t="e">
        <f t="shared" ref="N222" si="148">K222/I222</f>
        <v>#DIV/0!</v>
      </c>
    </row>
    <row r="223" spans="2:14" s="10" customFormat="1" ht="30" customHeight="1" x14ac:dyDescent="0.3">
      <c r="B223" s="27">
        <v>21</v>
      </c>
      <c r="C223" s="17"/>
      <c r="D223" s="17"/>
      <c r="E223" s="17" t="s">
        <v>168</v>
      </c>
      <c r="F223" s="43">
        <f>SUM(F224,F233,F240,F247,F254,F263,F272,F280)</f>
        <v>0</v>
      </c>
      <c r="G223" s="43">
        <f t="shared" ref="G223:M223" si="149">SUM(G224,G233,G240,G247,G254,G263,G272,G280)</f>
        <v>0</v>
      </c>
      <c r="H223" s="43">
        <f t="shared" si="149"/>
        <v>0</v>
      </c>
      <c r="I223" s="43">
        <f t="shared" si="149"/>
        <v>0</v>
      </c>
      <c r="J223" s="43">
        <f t="shared" si="149"/>
        <v>0</v>
      </c>
      <c r="K223" s="43">
        <f t="shared" si="149"/>
        <v>0</v>
      </c>
      <c r="L223" s="43">
        <f t="shared" si="149"/>
        <v>0</v>
      </c>
      <c r="M223" s="43">
        <f t="shared" si="149"/>
        <v>0</v>
      </c>
      <c r="N223" s="43" t="e">
        <f>K223/I223</f>
        <v>#DIV/0!</v>
      </c>
    </row>
    <row r="224" spans="2:14" s="10" customFormat="1" x14ac:dyDescent="0.3">
      <c r="B224" s="27"/>
      <c r="C224" s="17">
        <v>211</v>
      </c>
      <c r="D224" s="17"/>
      <c r="E224" s="17" t="s">
        <v>20</v>
      </c>
      <c r="F224" s="53">
        <f>SUM(F225:F232)</f>
        <v>0</v>
      </c>
      <c r="G224" s="53">
        <f t="shared" ref="G224:L224" si="150">SUM(G225:G232)</f>
        <v>0</v>
      </c>
      <c r="H224" s="53">
        <f t="shared" si="150"/>
        <v>0</v>
      </c>
      <c r="I224" s="53">
        <f t="shared" si="150"/>
        <v>0</v>
      </c>
      <c r="J224" s="53">
        <f t="shared" si="150"/>
        <v>0</v>
      </c>
      <c r="K224" s="53">
        <f t="shared" si="150"/>
        <v>0</v>
      </c>
      <c r="L224" s="53">
        <f t="shared" si="150"/>
        <v>0</v>
      </c>
      <c r="M224" s="35">
        <f t="shared" ref="M224" si="151">K224-L224</f>
        <v>0</v>
      </c>
      <c r="N224" s="53"/>
    </row>
    <row r="225" spans="2:14" x14ac:dyDescent="0.3">
      <c r="B225" s="27"/>
      <c r="C225" s="17"/>
      <c r="D225" s="3">
        <v>2111</v>
      </c>
      <c r="E225" s="3" t="s">
        <v>339</v>
      </c>
      <c r="F225" s="35"/>
      <c r="G225" s="35"/>
      <c r="H225" s="35"/>
      <c r="I225" s="35"/>
      <c r="J225" s="35"/>
      <c r="K225" s="35"/>
      <c r="L225" s="35"/>
      <c r="M225" s="35">
        <f t="shared" ref="M225:M233" si="152">K225-L225</f>
        <v>0</v>
      </c>
      <c r="N225" s="35" t="e">
        <f t="shared" ref="N225:N232" si="153">K225/I225</f>
        <v>#DIV/0!</v>
      </c>
    </row>
    <row r="226" spans="2:14" x14ac:dyDescent="0.3">
      <c r="B226" s="27"/>
      <c r="C226" s="17"/>
      <c r="D226" s="3">
        <v>2112</v>
      </c>
      <c r="E226" s="3" t="s">
        <v>340</v>
      </c>
      <c r="F226" s="35"/>
      <c r="G226" s="35"/>
      <c r="H226" s="35"/>
      <c r="I226" s="35"/>
      <c r="J226" s="35"/>
      <c r="K226" s="35"/>
      <c r="L226" s="35"/>
      <c r="M226" s="35">
        <f t="shared" si="152"/>
        <v>0</v>
      </c>
      <c r="N226" s="35" t="e">
        <f t="shared" si="153"/>
        <v>#DIV/0!</v>
      </c>
    </row>
    <row r="227" spans="2:14" x14ac:dyDescent="0.3">
      <c r="B227" s="27"/>
      <c r="C227" s="17"/>
      <c r="D227" s="3">
        <v>2113</v>
      </c>
      <c r="E227" s="3" t="s">
        <v>341</v>
      </c>
      <c r="F227" s="35"/>
      <c r="G227" s="35"/>
      <c r="H227" s="35"/>
      <c r="I227" s="35"/>
      <c r="J227" s="35"/>
      <c r="K227" s="35"/>
      <c r="L227" s="35"/>
      <c r="M227" s="35">
        <f t="shared" si="152"/>
        <v>0</v>
      </c>
      <c r="N227" s="35" t="e">
        <f t="shared" si="153"/>
        <v>#DIV/0!</v>
      </c>
    </row>
    <row r="228" spans="2:14" x14ac:dyDescent="0.3">
      <c r="B228" s="27"/>
      <c r="C228" s="17"/>
      <c r="D228" s="3">
        <v>2114</v>
      </c>
      <c r="E228" s="3" t="s">
        <v>342</v>
      </c>
      <c r="F228" s="35"/>
      <c r="G228" s="35"/>
      <c r="H228" s="35"/>
      <c r="I228" s="35"/>
      <c r="J228" s="35"/>
      <c r="K228" s="35"/>
      <c r="L228" s="35"/>
      <c r="M228" s="35">
        <f t="shared" si="152"/>
        <v>0</v>
      </c>
      <c r="N228" s="35" t="e">
        <f t="shared" si="153"/>
        <v>#DIV/0!</v>
      </c>
    </row>
    <row r="229" spans="2:14" x14ac:dyDescent="0.3">
      <c r="B229" s="27"/>
      <c r="C229" s="17"/>
      <c r="D229" s="3">
        <v>2115</v>
      </c>
      <c r="E229" s="3" t="s">
        <v>343</v>
      </c>
      <c r="F229" s="35"/>
      <c r="G229" s="35"/>
      <c r="H229" s="35"/>
      <c r="I229" s="35"/>
      <c r="J229" s="35"/>
      <c r="K229" s="35"/>
      <c r="L229" s="35"/>
      <c r="M229" s="35">
        <f t="shared" si="152"/>
        <v>0</v>
      </c>
      <c r="N229" s="35" t="e">
        <f t="shared" si="153"/>
        <v>#DIV/0!</v>
      </c>
    </row>
    <row r="230" spans="2:14" x14ac:dyDescent="0.3">
      <c r="B230" s="27"/>
      <c r="C230" s="17"/>
      <c r="D230" s="3">
        <v>2116</v>
      </c>
      <c r="E230" s="3" t="s">
        <v>344</v>
      </c>
      <c r="F230" s="35"/>
      <c r="G230" s="35"/>
      <c r="H230" s="35"/>
      <c r="I230" s="35"/>
      <c r="J230" s="35"/>
      <c r="K230" s="35"/>
      <c r="L230" s="35"/>
      <c r="M230" s="35">
        <f t="shared" si="152"/>
        <v>0</v>
      </c>
      <c r="N230" s="35" t="e">
        <f t="shared" si="153"/>
        <v>#DIV/0!</v>
      </c>
    </row>
    <row r="231" spans="2:14" x14ac:dyDescent="0.3">
      <c r="B231" s="27"/>
      <c r="C231" s="17"/>
      <c r="D231" s="3">
        <v>2117</v>
      </c>
      <c r="E231" s="3" t="s">
        <v>345</v>
      </c>
      <c r="F231" s="35"/>
      <c r="G231" s="35"/>
      <c r="H231" s="35"/>
      <c r="I231" s="35"/>
      <c r="J231" s="35"/>
      <c r="K231" s="35"/>
      <c r="L231" s="35"/>
      <c r="M231" s="35">
        <f t="shared" si="152"/>
        <v>0</v>
      </c>
      <c r="N231" s="35" t="e">
        <f t="shared" si="153"/>
        <v>#DIV/0!</v>
      </c>
    </row>
    <row r="232" spans="2:14" x14ac:dyDescent="0.3">
      <c r="B232" s="27"/>
      <c r="C232" s="17"/>
      <c r="D232" s="3">
        <v>2118</v>
      </c>
      <c r="E232" s="3" t="s">
        <v>95</v>
      </c>
      <c r="F232" s="35"/>
      <c r="G232" s="35"/>
      <c r="H232" s="35"/>
      <c r="I232" s="35"/>
      <c r="J232" s="35"/>
      <c r="K232" s="35"/>
      <c r="L232" s="35"/>
      <c r="M232" s="35">
        <f t="shared" si="152"/>
        <v>0</v>
      </c>
      <c r="N232" s="35" t="e">
        <f t="shared" si="153"/>
        <v>#DIV/0!</v>
      </c>
    </row>
    <row r="233" spans="2:14" s="10" customFormat="1" x14ac:dyDescent="0.3">
      <c r="B233" s="27"/>
      <c r="C233" s="17">
        <v>212</v>
      </c>
      <c r="D233" s="17"/>
      <c r="E233" s="17" t="s">
        <v>346</v>
      </c>
      <c r="F233" s="53">
        <f>SUM(F234:F239)</f>
        <v>0</v>
      </c>
      <c r="G233" s="53">
        <f t="shared" ref="G233:L233" si="154">SUM(G234:G239)</f>
        <v>0</v>
      </c>
      <c r="H233" s="53">
        <f t="shared" si="154"/>
        <v>0</v>
      </c>
      <c r="I233" s="53">
        <f t="shared" si="154"/>
        <v>0</v>
      </c>
      <c r="J233" s="53">
        <f t="shared" si="154"/>
        <v>0</v>
      </c>
      <c r="K233" s="53">
        <f t="shared" si="154"/>
        <v>0</v>
      </c>
      <c r="L233" s="53">
        <f t="shared" si="154"/>
        <v>0</v>
      </c>
      <c r="M233" s="35">
        <f t="shared" si="152"/>
        <v>0</v>
      </c>
      <c r="N233" s="53"/>
    </row>
    <row r="234" spans="2:14" x14ac:dyDescent="0.3">
      <c r="B234" s="27"/>
      <c r="C234" s="17"/>
      <c r="D234" s="3">
        <v>2121</v>
      </c>
      <c r="E234" s="3" t="s">
        <v>347</v>
      </c>
      <c r="F234" s="35"/>
      <c r="G234" s="35"/>
      <c r="H234" s="35"/>
      <c r="I234" s="35"/>
      <c r="J234" s="35"/>
      <c r="K234" s="35"/>
      <c r="L234" s="35"/>
      <c r="M234" s="35">
        <f t="shared" ref="M234:M287" si="155">K234-L234</f>
        <v>0</v>
      </c>
      <c r="N234" s="35" t="e">
        <f t="shared" ref="N234:N239" si="156">K234/I234</f>
        <v>#DIV/0!</v>
      </c>
    </row>
    <row r="235" spans="2:14" x14ac:dyDescent="0.3">
      <c r="B235" s="27"/>
      <c r="C235" s="17"/>
      <c r="D235" s="3">
        <v>2122</v>
      </c>
      <c r="E235" s="3" t="s">
        <v>348</v>
      </c>
      <c r="F235" s="35"/>
      <c r="G235" s="35"/>
      <c r="H235" s="35"/>
      <c r="I235" s="35"/>
      <c r="J235" s="35"/>
      <c r="K235" s="35"/>
      <c r="L235" s="35"/>
      <c r="M235" s="35">
        <f t="shared" si="155"/>
        <v>0</v>
      </c>
      <c r="N235" s="35" t="e">
        <f t="shared" si="156"/>
        <v>#DIV/0!</v>
      </c>
    </row>
    <row r="236" spans="2:14" x14ac:dyDescent="0.3">
      <c r="B236" s="27"/>
      <c r="C236" s="17"/>
      <c r="D236" s="3">
        <v>2123</v>
      </c>
      <c r="E236" s="3" t="s">
        <v>349</v>
      </c>
      <c r="F236" s="35"/>
      <c r="G236" s="35"/>
      <c r="H236" s="35"/>
      <c r="I236" s="35"/>
      <c r="J236" s="35"/>
      <c r="K236" s="35"/>
      <c r="L236" s="35"/>
      <c r="M236" s="35">
        <f t="shared" si="155"/>
        <v>0</v>
      </c>
      <c r="N236" s="35" t="e">
        <f t="shared" si="156"/>
        <v>#DIV/0!</v>
      </c>
    </row>
    <row r="237" spans="2:14" x14ac:dyDescent="0.3">
      <c r="B237" s="27"/>
      <c r="C237" s="17"/>
      <c r="D237" s="3">
        <v>2124</v>
      </c>
      <c r="E237" s="3" t="s">
        <v>350</v>
      </c>
      <c r="F237" s="35"/>
      <c r="G237" s="35"/>
      <c r="H237" s="35"/>
      <c r="I237" s="35"/>
      <c r="J237" s="35"/>
      <c r="K237" s="35"/>
      <c r="L237" s="35"/>
      <c r="M237" s="35">
        <f t="shared" si="155"/>
        <v>0</v>
      </c>
      <c r="N237" s="35" t="e">
        <f t="shared" si="156"/>
        <v>#DIV/0!</v>
      </c>
    </row>
    <row r="238" spans="2:14" x14ac:dyDescent="0.3">
      <c r="B238" s="27"/>
      <c r="C238" s="17"/>
      <c r="D238" s="3">
        <v>2125</v>
      </c>
      <c r="E238" s="3" t="s">
        <v>351</v>
      </c>
      <c r="F238" s="35"/>
      <c r="G238" s="35"/>
      <c r="H238" s="35"/>
      <c r="I238" s="35"/>
      <c r="J238" s="35"/>
      <c r="K238" s="35"/>
      <c r="L238" s="35"/>
      <c r="M238" s="35">
        <f t="shared" si="155"/>
        <v>0</v>
      </c>
      <c r="N238" s="35" t="e">
        <f t="shared" si="156"/>
        <v>#DIV/0!</v>
      </c>
    </row>
    <row r="239" spans="2:14" x14ac:dyDescent="0.3">
      <c r="B239" s="27"/>
      <c r="C239" s="17"/>
      <c r="D239" s="3">
        <v>2128</v>
      </c>
      <c r="E239" s="3" t="s">
        <v>352</v>
      </c>
      <c r="F239" s="35"/>
      <c r="G239" s="35"/>
      <c r="H239" s="35"/>
      <c r="I239" s="35"/>
      <c r="J239" s="35"/>
      <c r="K239" s="35"/>
      <c r="L239" s="35"/>
      <c r="M239" s="35">
        <f t="shared" si="155"/>
        <v>0</v>
      </c>
      <c r="N239" s="35" t="e">
        <f t="shared" si="156"/>
        <v>#DIV/0!</v>
      </c>
    </row>
    <row r="240" spans="2:14" s="10" customFormat="1" x14ac:dyDescent="0.3">
      <c r="B240" s="27"/>
      <c r="C240" s="17">
        <v>213</v>
      </c>
      <c r="D240" s="17"/>
      <c r="E240" s="17" t="s">
        <v>353</v>
      </c>
      <c r="F240" s="53">
        <f>SUM(F241:F246)</f>
        <v>0</v>
      </c>
      <c r="G240" s="53">
        <f t="shared" ref="G240:L240" si="157">SUM(G241:G246)</f>
        <v>0</v>
      </c>
      <c r="H240" s="53">
        <f t="shared" si="157"/>
        <v>0</v>
      </c>
      <c r="I240" s="53">
        <f t="shared" si="157"/>
        <v>0</v>
      </c>
      <c r="J240" s="53">
        <f t="shared" si="157"/>
        <v>0</v>
      </c>
      <c r="K240" s="53">
        <f t="shared" si="157"/>
        <v>0</v>
      </c>
      <c r="L240" s="53">
        <f t="shared" si="157"/>
        <v>0</v>
      </c>
      <c r="M240" s="35">
        <f t="shared" si="155"/>
        <v>0</v>
      </c>
      <c r="N240" s="53"/>
    </row>
    <row r="241" spans="2:14" x14ac:dyDescent="0.3">
      <c r="B241" s="27"/>
      <c r="C241" s="17"/>
      <c r="D241" s="3">
        <v>2131</v>
      </c>
      <c r="E241" s="3" t="s">
        <v>354</v>
      </c>
      <c r="F241" s="35"/>
      <c r="G241" s="35"/>
      <c r="H241" s="35"/>
      <c r="I241" s="35"/>
      <c r="J241" s="35"/>
      <c r="K241" s="35"/>
      <c r="L241" s="35"/>
      <c r="M241" s="35">
        <f t="shared" si="155"/>
        <v>0</v>
      </c>
      <c r="N241" s="35" t="e">
        <f t="shared" ref="N241:N246" si="158">K241/I241</f>
        <v>#DIV/0!</v>
      </c>
    </row>
    <row r="242" spans="2:14" x14ac:dyDescent="0.3">
      <c r="B242" s="27"/>
      <c r="C242" s="17"/>
      <c r="D242" s="3">
        <v>2132</v>
      </c>
      <c r="E242" s="3" t="s">
        <v>355</v>
      </c>
      <c r="F242" s="35"/>
      <c r="G242" s="35"/>
      <c r="H242" s="35"/>
      <c r="I242" s="35"/>
      <c r="J242" s="35"/>
      <c r="K242" s="35"/>
      <c r="L242" s="35"/>
      <c r="M242" s="35">
        <f t="shared" si="155"/>
        <v>0</v>
      </c>
      <c r="N242" s="35" t="e">
        <f t="shared" si="158"/>
        <v>#DIV/0!</v>
      </c>
    </row>
    <row r="243" spans="2:14" x14ac:dyDescent="0.3">
      <c r="B243" s="27"/>
      <c r="C243" s="17"/>
      <c r="D243" s="3">
        <v>2133</v>
      </c>
      <c r="E243" s="3" t="s">
        <v>356</v>
      </c>
      <c r="F243" s="35"/>
      <c r="G243" s="35"/>
      <c r="H243" s="35"/>
      <c r="I243" s="35"/>
      <c r="J243" s="35"/>
      <c r="K243" s="35"/>
      <c r="L243" s="35"/>
      <c r="M243" s="35">
        <f t="shared" si="155"/>
        <v>0</v>
      </c>
      <c r="N243" s="35" t="e">
        <f t="shared" si="158"/>
        <v>#DIV/0!</v>
      </c>
    </row>
    <row r="244" spans="2:14" x14ac:dyDescent="0.3">
      <c r="B244" s="27"/>
      <c r="C244" s="17"/>
      <c r="D244" s="3">
        <v>2134</v>
      </c>
      <c r="E244" s="3" t="s">
        <v>357</v>
      </c>
      <c r="F244" s="35"/>
      <c r="G244" s="35"/>
      <c r="H244" s="35"/>
      <c r="I244" s="35"/>
      <c r="J244" s="35"/>
      <c r="K244" s="35"/>
      <c r="L244" s="35"/>
      <c r="M244" s="35">
        <f t="shared" si="155"/>
        <v>0</v>
      </c>
      <c r="N244" s="35" t="e">
        <f t="shared" si="158"/>
        <v>#DIV/0!</v>
      </c>
    </row>
    <row r="245" spans="2:14" x14ac:dyDescent="0.3">
      <c r="B245" s="27"/>
      <c r="C245" s="17"/>
      <c r="D245" s="3">
        <v>2137</v>
      </c>
      <c r="E245" s="3" t="s">
        <v>358</v>
      </c>
      <c r="F245" s="35"/>
      <c r="G245" s="35"/>
      <c r="H245" s="35"/>
      <c r="I245" s="35"/>
      <c r="J245" s="35"/>
      <c r="K245" s="35"/>
      <c r="L245" s="35"/>
      <c r="M245" s="35">
        <f t="shared" si="155"/>
        <v>0</v>
      </c>
      <c r="N245" s="35" t="e">
        <f t="shared" si="158"/>
        <v>#DIV/0!</v>
      </c>
    </row>
    <row r="246" spans="2:14" x14ac:dyDescent="0.3">
      <c r="B246" s="27"/>
      <c r="C246" s="17"/>
      <c r="D246" s="3">
        <v>2138</v>
      </c>
      <c r="E246" s="3" t="s">
        <v>359</v>
      </c>
      <c r="F246" s="35"/>
      <c r="G246" s="35"/>
      <c r="H246" s="35"/>
      <c r="I246" s="35"/>
      <c r="J246" s="35"/>
      <c r="K246" s="35"/>
      <c r="L246" s="35"/>
      <c r="M246" s="35">
        <f t="shared" si="155"/>
        <v>0</v>
      </c>
      <c r="N246" s="35" t="e">
        <f t="shared" si="158"/>
        <v>#DIV/0!</v>
      </c>
    </row>
    <row r="247" spans="2:14" s="10" customFormat="1" x14ac:dyDescent="0.3">
      <c r="B247" s="27"/>
      <c r="C247" s="17">
        <v>214</v>
      </c>
      <c r="D247" s="17"/>
      <c r="E247" s="17" t="s">
        <v>360</v>
      </c>
      <c r="F247" s="53">
        <f>SUM(F248:F253)</f>
        <v>0</v>
      </c>
      <c r="G247" s="53">
        <f t="shared" ref="G247:L247" si="159">SUM(G248:G253)</f>
        <v>0</v>
      </c>
      <c r="H247" s="53">
        <f t="shared" si="159"/>
        <v>0</v>
      </c>
      <c r="I247" s="53">
        <f t="shared" si="159"/>
        <v>0</v>
      </c>
      <c r="J247" s="53">
        <f t="shared" si="159"/>
        <v>0</v>
      </c>
      <c r="K247" s="53">
        <f t="shared" si="159"/>
        <v>0</v>
      </c>
      <c r="L247" s="53">
        <f t="shared" si="159"/>
        <v>0</v>
      </c>
      <c r="M247" s="35">
        <f t="shared" si="155"/>
        <v>0</v>
      </c>
      <c r="N247" s="53"/>
    </row>
    <row r="248" spans="2:14" x14ac:dyDescent="0.3">
      <c r="B248" s="27"/>
      <c r="C248" s="17"/>
      <c r="D248" s="3">
        <v>2141</v>
      </c>
      <c r="E248" s="3" t="s">
        <v>390</v>
      </c>
      <c r="F248" s="35"/>
      <c r="G248" s="35"/>
      <c r="H248" s="35"/>
      <c r="I248" s="35"/>
      <c r="J248" s="35"/>
      <c r="K248" s="35"/>
      <c r="L248" s="35"/>
      <c r="M248" s="35">
        <f t="shared" si="155"/>
        <v>0</v>
      </c>
      <c r="N248" s="35" t="e">
        <f t="shared" ref="N248:N253" si="160">K248/I248</f>
        <v>#DIV/0!</v>
      </c>
    </row>
    <row r="249" spans="2:14" x14ac:dyDescent="0.3">
      <c r="B249" s="27"/>
      <c r="C249" s="17"/>
      <c r="D249" s="3">
        <v>2142</v>
      </c>
      <c r="E249" s="3" t="s">
        <v>391</v>
      </c>
      <c r="F249" s="35"/>
      <c r="G249" s="35"/>
      <c r="H249" s="35"/>
      <c r="I249" s="35"/>
      <c r="J249" s="35"/>
      <c r="K249" s="35"/>
      <c r="L249" s="35"/>
      <c r="M249" s="35">
        <f t="shared" si="155"/>
        <v>0</v>
      </c>
      <c r="N249" s="35" t="e">
        <f t="shared" si="160"/>
        <v>#DIV/0!</v>
      </c>
    </row>
    <row r="250" spans="2:14" x14ac:dyDescent="0.3">
      <c r="B250" s="27"/>
      <c r="C250" s="17"/>
      <c r="D250" s="3">
        <v>2143</v>
      </c>
      <c r="E250" s="3" t="s">
        <v>392</v>
      </c>
      <c r="F250" s="35"/>
      <c r="G250" s="35"/>
      <c r="H250" s="35"/>
      <c r="I250" s="35"/>
      <c r="J250" s="35"/>
      <c r="K250" s="35"/>
      <c r="L250" s="35"/>
      <c r="M250" s="35">
        <f t="shared" si="155"/>
        <v>0</v>
      </c>
      <c r="N250" s="35" t="e">
        <f t="shared" si="160"/>
        <v>#DIV/0!</v>
      </c>
    </row>
    <row r="251" spans="2:14" x14ac:dyDescent="0.3">
      <c r="B251" s="27"/>
      <c r="C251" s="17"/>
      <c r="D251" s="3">
        <v>2144</v>
      </c>
      <c r="E251" s="3" t="s">
        <v>393</v>
      </c>
      <c r="F251" s="35"/>
      <c r="G251" s="35"/>
      <c r="H251" s="35"/>
      <c r="I251" s="35"/>
      <c r="J251" s="35"/>
      <c r="K251" s="35"/>
      <c r="L251" s="35"/>
      <c r="M251" s="35">
        <f t="shared" si="155"/>
        <v>0</v>
      </c>
      <c r="N251" s="35" t="e">
        <f t="shared" si="160"/>
        <v>#DIV/0!</v>
      </c>
    </row>
    <row r="252" spans="2:14" x14ac:dyDescent="0.3">
      <c r="B252" s="27"/>
      <c r="C252" s="17"/>
      <c r="D252" s="3">
        <v>2147</v>
      </c>
      <c r="E252" s="3" t="s">
        <v>394</v>
      </c>
      <c r="F252" s="35"/>
      <c r="G252" s="35"/>
      <c r="H252" s="35"/>
      <c r="I252" s="35"/>
      <c r="J252" s="35"/>
      <c r="K252" s="35"/>
      <c r="L252" s="35"/>
      <c r="M252" s="35">
        <f t="shared" si="155"/>
        <v>0</v>
      </c>
      <c r="N252" s="35" t="e">
        <f t="shared" si="160"/>
        <v>#DIV/0!</v>
      </c>
    </row>
    <row r="253" spans="2:14" x14ac:dyDescent="0.3">
      <c r="B253" s="27"/>
      <c r="C253" s="17"/>
      <c r="D253" s="3">
        <v>2148</v>
      </c>
      <c r="E253" s="3" t="s">
        <v>395</v>
      </c>
      <c r="F253" s="35"/>
      <c r="G253" s="35"/>
      <c r="H253" s="35"/>
      <c r="I253" s="35"/>
      <c r="J253" s="35"/>
      <c r="K253" s="35"/>
      <c r="L253" s="35"/>
      <c r="M253" s="35">
        <f t="shared" si="155"/>
        <v>0</v>
      </c>
      <c r="N253" s="35" t="e">
        <f t="shared" si="160"/>
        <v>#DIV/0!</v>
      </c>
    </row>
    <row r="254" spans="2:14" s="10" customFormat="1" x14ac:dyDescent="0.3">
      <c r="B254" s="27"/>
      <c r="C254" s="17">
        <v>215</v>
      </c>
      <c r="D254" s="17"/>
      <c r="E254" s="17" t="s">
        <v>361</v>
      </c>
      <c r="F254" s="53">
        <f>SUM(F255:F262)</f>
        <v>0</v>
      </c>
      <c r="G254" s="53">
        <f t="shared" ref="G254:L254" si="161">SUM(G255:G262)</f>
        <v>0</v>
      </c>
      <c r="H254" s="53">
        <f t="shared" si="161"/>
        <v>0</v>
      </c>
      <c r="I254" s="53">
        <f t="shared" si="161"/>
        <v>0</v>
      </c>
      <c r="J254" s="53">
        <f t="shared" si="161"/>
        <v>0</v>
      </c>
      <c r="K254" s="53">
        <f t="shared" si="161"/>
        <v>0</v>
      </c>
      <c r="L254" s="53">
        <f t="shared" si="161"/>
        <v>0</v>
      </c>
      <c r="M254" s="35">
        <f t="shared" si="155"/>
        <v>0</v>
      </c>
      <c r="N254" s="53"/>
    </row>
    <row r="255" spans="2:14" x14ac:dyDescent="0.3">
      <c r="B255" s="27"/>
      <c r="C255" s="17"/>
      <c r="D255" s="3">
        <v>2151</v>
      </c>
      <c r="E255" s="3" t="s">
        <v>362</v>
      </c>
      <c r="F255" s="35"/>
      <c r="G255" s="35"/>
      <c r="H255" s="35"/>
      <c r="I255" s="35"/>
      <c r="J255" s="35"/>
      <c r="K255" s="35"/>
      <c r="L255" s="35"/>
      <c r="M255" s="35">
        <f t="shared" si="155"/>
        <v>0</v>
      </c>
      <c r="N255" s="35" t="e">
        <f t="shared" ref="N255:N262" si="162">K255/I255</f>
        <v>#DIV/0!</v>
      </c>
    </row>
    <row r="256" spans="2:14" x14ac:dyDescent="0.3">
      <c r="B256" s="27"/>
      <c r="C256" s="17"/>
      <c r="D256" s="3">
        <v>2152</v>
      </c>
      <c r="E256" s="3" t="s">
        <v>363</v>
      </c>
      <c r="F256" s="35"/>
      <c r="G256" s="35"/>
      <c r="H256" s="35"/>
      <c r="I256" s="35"/>
      <c r="J256" s="35"/>
      <c r="K256" s="35"/>
      <c r="L256" s="35"/>
      <c r="M256" s="35">
        <f t="shared" si="155"/>
        <v>0</v>
      </c>
      <c r="N256" s="35" t="e">
        <f t="shared" si="162"/>
        <v>#DIV/0!</v>
      </c>
    </row>
    <row r="257" spans="2:14" x14ac:dyDescent="0.3">
      <c r="B257" s="27"/>
      <c r="C257" s="17"/>
      <c r="D257" s="3">
        <v>2153</v>
      </c>
      <c r="E257" s="3" t="s">
        <v>364</v>
      </c>
      <c r="F257" s="35"/>
      <c r="G257" s="35"/>
      <c r="H257" s="35"/>
      <c r="I257" s="35"/>
      <c r="J257" s="35"/>
      <c r="K257" s="35"/>
      <c r="L257" s="35"/>
      <c r="M257" s="35">
        <f t="shared" si="155"/>
        <v>0</v>
      </c>
      <c r="N257" s="35" t="e">
        <f t="shared" si="162"/>
        <v>#DIV/0!</v>
      </c>
    </row>
    <row r="258" spans="2:14" x14ac:dyDescent="0.3">
      <c r="B258" s="27"/>
      <c r="C258" s="17"/>
      <c r="D258" s="3">
        <v>2154</v>
      </c>
      <c r="E258" s="3" t="s">
        <v>365</v>
      </c>
      <c r="F258" s="35"/>
      <c r="G258" s="35"/>
      <c r="H258" s="35"/>
      <c r="I258" s="35"/>
      <c r="J258" s="35"/>
      <c r="K258" s="35"/>
      <c r="L258" s="35"/>
      <c r="M258" s="35">
        <f t="shared" si="155"/>
        <v>0</v>
      </c>
      <c r="N258" s="35" t="e">
        <f t="shared" si="162"/>
        <v>#DIV/0!</v>
      </c>
    </row>
    <row r="259" spans="2:14" x14ac:dyDescent="0.3">
      <c r="B259" s="27"/>
      <c r="C259" s="17"/>
      <c r="D259" s="3">
        <v>2155</v>
      </c>
      <c r="E259" s="3" t="s">
        <v>366</v>
      </c>
      <c r="F259" s="35"/>
      <c r="G259" s="35"/>
      <c r="H259" s="35"/>
      <c r="I259" s="35"/>
      <c r="J259" s="35"/>
      <c r="K259" s="35"/>
      <c r="L259" s="35"/>
      <c r="M259" s="35">
        <f t="shared" si="155"/>
        <v>0</v>
      </c>
      <c r="N259" s="35" t="e">
        <f t="shared" si="162"/>
        <v>#DIV/0!</v>
      </c>
    </row>
    <row r="260" spans="2:14" x14ac:dyDescent="0.3">
      <c r="B260" s="27"/>
      <c r="C260" s="17"/>
      <c r="D260" s="3">
        <v>2156</v>
      </c>
      <c r="E260" s="3" t="s">
        <v>367</v>
      </c>
      <c r="F260" s="35"/>
      <c r="G260" s="35"/>
      <c r="H260" s="35"/>
      <c r="I260" s="35"/>
      <c r="J260" s="35"/>
      <c r="K260" s="35"/>
      <c r="L260" s="35"/>
      <c r="M260" s="35">
        <f t="shared" si="155"/>
        <v>0</v>
      </c>
      <c r="N260" s="35" t="e">
        <f t="shared" si="162"/>
        <v>#DIV/0!</v>
      </c>
    </row>
    <row r="261" spans="2:14" x14ac:dyDescent="0.3">
      <c r="B261" s="27"/>
      <c r="C261" s="17"/>
      <c r="D261" s="3">
        <v>2157</v>
      </c>
      <c r="E261" s="3" t="s">
        <v>368</v>
      </c>
      <c r="F261" s="35"/>
      <c r="G261" s="35"/>
      <c r="H261" s="35"/>
      <c r="I261" s="35"/>
      <c r="J261" s="35"/>
      <c r="K261" s="35"/>
      <c r="L261" s="35"/>
      <c r="M261" s="35">
        <f t="shared" si="155"/>
        <v>0</v>
      </c>
      <c r="N261" s="35" t="e">
        <f t="shared" si="162"/>
        <v>#DIV/0!</v>
      </c>
    </row>
    <row r="262" spans="2:14" x14ac:dyDescent="0.3">
      <c r="B262" s="27"/>
      <c r="C262" s="17"/>
      <c r="D262" s="3">
        <v>2158</v>
      </c>
      <c r="E262" s="3" t="s">
        <v>369</v>
      </c>
      <c r="F262" s="35"/>
      <c r="G262" s="35"/>
      <c r="H262" s="35"/>
      <c r="I262" s="35"/>
      <c r="J262" s="35"/>
      <c r="K262" s="35"/>
      <c r="L262" s="35"/>
      <c r="M262" s="35">
        <f t="shared" si="155"/>
        <v>0</v>
      </c>
      <c r="N262" s="35" t="e">
        <f t="shared" si="162"/>
        <v>#DIV/0!</v>
      </c>
    </row>
    <row r="263" spans="2:14" s="10" customFormat="1" x14ac:dyDescent="0.3">
      <c r="B263" s="27"/>
      <c r="C263" s="17">
        <v>216</v>
      </c>
      <c r="D263" s="17"/>
      <c r="E263" s="17" t="s">
        <v>370</v>
      </c>
      <c r="F263" s="53">
        <f>SUM(F264:F271)</f>
        <v>0</v>
      </c>
      <c r="G263" s="53">
        <f t="shared" ref="G263:L263" si="163">SUM(G264:G271)</f>
        <v>0</v>
      </c>
      <c r="H263" s="53">
        <f t="shared" si="163"/>
        <v>0</v>
      </c>
      <c r="I263" s="53">
        <f t="shared" si="163"/>
        <v>0</v>
      </c>
      <c r="J263" s="53">
        <f t="shared" si="163"/>
        <v>0</v>
      </c>
      <c r="K263" s="53">
        <f t="shared" si="163"/>
        <v>0</v>
      </c>
      <c r="L263" s="53">
        <f t="shared" si="163"/>
        <v>0</v>
      </c>
      <c r="M263" s="35">
        <f t="shared" si="155"/>
        <v>0</v>
      </c>
      <c r="N263" s="53"/>
    </row>
    <row r="264" spans="2:14" x14ac:dyDescent="0.3">
      <c r="B264" s="27"/>
      <c r="C264" s="17"/>
      <c r="D264" s="3">
        <v>2161</v>
      </c>
      <c r="E264" s="3" t="s">
        <v>371</v>
      </c>
      <c r="F264" s="35"/>
      <c r="G264" s="35"/>
      <c r="H264" s="35"/>
      <c r="I264" s="35"/>
      <c r="J264" s="35"/>
      <c r="K264" s="35"/>
      <c r="L264" s="35"/>
      <c r="M264" s="35">
        <f t="shared" si="155"/>
        <v>0</v>
      </c>
      <c r="N264" s="35" t="e">
        <f t="shared" ref="N264:N271" si="164">K264/I264</f>
        <v>#DIV/0!</v>
      </c>
    </row>
    <row r="265" spans="2:14" x14ac:dyDescent="0.3">
      <c r="B265" s="27"/>
      <c r="C265" s="17"/>
      <c r="D265" s="3">
        <v>2162</v>
      </c>
      <c r="E265" s="3" t="s">
        <v>372</v>
      </c>
      <c r="F265" s="35"/>
      <c r="G265" s="35"/>
      <c r="H265" s="35"/>
      <c r="I265" s="35"/>
      <c r="J265" s="35"/>
      <c r="K265" s="35"/>
      <c r="L265" s="35"/>
      <c r="M265" s="35">
        <f t="shared" si="155"/>
        <v>0</v>
      </c>
      <c r="N265" s="35" t="e">
        <f t="shared" si="164"/>
        <v>#DIV/0!</v>
      </c>
    </row>
    <row r="266" spans="2:14" x14ac:dyDescent="0.3">
      <c r="B266" s="27"/>
      <c r="C266" s="17"/>
      <c r="D266" s="3">
        <v>2163</v>
      </c>
      <c r="E266" s="3" t="s">
        <v>373</v>
      </c>
      <c r="F266" s="35"/>
      <c r="G266" s="35"/>
      <c r="H266" s="35"/>
      <c r="I266" s="35"/>
      <c r="J266" s="35"/>
      <c r="K266" s="35"/>
      <c r="L266" s="35"/>
      <c r="M266" s="35">
        <f t="shared" si="155"/>
        <v>0</v>
      </c>
      <c r="N266" s="35" t="e">
        <f t="shared" si="164"/>
        <v>#DIV/0!</v>
      </c>
    </row>
    <row r="267" spans="2:14" x14ac:dyDescent="0.3">
      <c r="B267" s="27"/>
      <c r="C267" s="17"/>
      <c r="D267" s="3">
        <v>2164</v>
      </c>
      <c r="E267" s="3" t="s">
        <v>374</v>
      </c>
      <c r="F267" s="35"/>
      <c r="G267" s="35"/>
      <c r="H267" s="35"/>
      <c r="I267" s="35"/>
      <c r="J267" s="35"/>
      <c r="K267" s="35"/>
      <c r="L267" s="35"/>
      <c r="M267" s="35">
        <f t="shared" si="155"/>
        <v>0</v>
      </c>
      <c r="N267" s="35" t="e">
        <f t="shared" si="164"/>
        <v>#DIV/0!</v>
      </c>
    </row>
    <row r="268" spans="2:14" x14ac:dyDescent="0.3">
      <c r="B268" s="27"/>
      <c r="C268" s="17"/>
      <c r="D268" s="3">
        <v>2165</v>
      </c>
      <c r="E268" s="3" t="s">
        <v>375</v>
      </c>
      <c r="F268" s="35"/>
      <c r="G268" s="35"/>
      <c r="H268" s="35"/>
      <c r="I268" s="35"/>
      <c r="J268" s="35"/>
      <c r="K268" s="35"/>
      <c r="L268" s="35"/>
      <c r="M268" s="35">
        <f t="shared" si="155"/>
        <v>0</v>
      </c>
      <c r="N268" s="35" t="e">
        <f t="shared" si="164"/>
        <v>#DIV/0!</v>
      </c>
    </row>
    <row r="269" spans="2:14" x14ac:dyDescent="0.3">
      <c r="B269" s="27"/>
      <c r="C269" s="17"/>
      <c r="D269" s="3">
        <v>2166</v>
      </c>
      <c r="E269" s="3" t="s">
        <v>376</v>
      </c>
      <c r="F269" s="35"/>
      <c r="G269" s="35"/>
      <c r="H269" s="35"/>
      <c r="I269" s="35"/>
      <c r="J269" s="35"/>
      <c r="K269" s="35"/>
      <c r="L269" s="35"/>
      <c r="M269" s="35">
        <f t="shared" si="155"/>
        <v>0</v>
      </c>
      <c r="N269" s="35" t="e">
        <f t="shared" si="164"/>
        <v>#DIV/0!</v>
      </c>
    </row>
    <row r="270" spans="2:14" x14ac:dyDescent="0.3">
      <c r="B270" s="27"/>
      <c r="C270" s="17"/>
      <c r="D270" s="3">
        <v>2167</v>
      </c>
      <c r="E270" s="3" t="s">
        <v>377</v>
      </c>
      <c r="F270" s="35"/>
      <c r="G270" s="35"/>
      <c r="H270" s="35"/>
      <c r="I270" s="35"/>
      <c r="J270" s="35"/>
      <c r="K270" s="35"/>
      <c r="L270" s="35"/>
      <c r="M270" s="35">
        <f t="shared" si="155"/>
        <v>0</v>
      </c>
      <c r="N270" s="35" t="e">
        <f t="shared" si="164"/>
        <v>#DIV/0!</v>
      </c>
    </row>
    <row r="271" spans="2:14" x14ac:dyDescent="0.3">
      <c r="B271" s="27"/>
      <c r="C271" s="17"/>
      <c r="D271" s="3">
        <v>2168</v>
      </c>
      <c r="E271" s="3" t="s">
        <v>378</v>
      </c>
      <c r="F271" s="35"/>
      <c r="G271" s="35"/>
      <c r="H271" s="35"/>
      <c r="I271" s="35"/>
      <c r="J271" s="35"/>
      <c r="K271" s="35"/>
      <c r="L271" s="35"/>
      <c r="M271" s="35">
        <f t="shared" si="155"/>
        <v>0</v>
      </c>
      <c r="N271" s="35" t="e">
        <f t="shared" si="164"/>
        <v>#DIV/0!</v>
      </c>
    </row>
    <row r="272" spans="2:14" s="10" customFormat="1" x14ac:dyDescent="0.3">
      <c r="B272" s="27"/>
      <c r="C272" s="17">
        <v>217</v>
      </c>
      <c r="D272" s="17"/>
      <c r="E272" s="17" t="s">
        <v>379</v>
      </c>
      <c r="F272" s="53">
        <f>SUM(F273:F279)</f>
        <v>0</v>
      </c>
      <c r="G272" s="53">
        <f t="shared" ref="G272:L272" si="165">SUM(G273:G279)</f>
        <v>0</v>
      </c>
      <c r="H272" s="53">
        <f t="shared" si="165"/>
        <v>0</v>
      </c>
      <c r="I272" s="53">
        <f t="shared" si="165"/>
        <v>0</v>
      </c>
      <c r="J272" s="53">
        <f t="shared" si="165"/>
        <v>0</v>
      </c>
      <c r="K272" s="53">
        <f t="shared" si="165"/>
        <v>0</v>
      </c>
      <c r="L272" s="53">
        <f t="shared" si="165"/>
        <v>0</v>
      </c>
      <c r="M272" s="35">
        <f t="shared" si="155"/>
        <v>0</v>
      </c>
      <c r="N272" s="53"/>
    </row>
    <row r="273" spans="2:14" x14ac:dyDescent="0.3">
      <c r="B273" s="27"/>
      <c r="C273" s="17"/>
      <c r="D273" s="3">
        <v>2171</v>
      </c>
      <c r="E273" s="3" t="s">
        <v>380</v>
      </c>
      <c r="F273" s="35"/>
      <c r="G273" s="35"/>
      <c r="H273" s="35"/>
      <c r="I273" s="35"/>
      <c r="J273" s="35"/>
      <c r="K273" s="35"/>
      <c r="L273" s="35"/>
      <c r="M273" s="35">
        <f t="shared" si="155"/>
        <v>0</v>
      </c>
      <c r="N273" s="35" t="e">
        <f t="shared" ref="N273:N279" si="166">K273/I273</f>
        <v>#DIV/0!</v>
      </c>
    </row>
    <row r="274" spans="2:14" x14ac:dyDescent="0.3">
      <c r="B274" s="27"/>
      <c r="C274" s="17"/>
      <c r="D274" s="3">
        <v>2172</v>
      </c>
      <c r="E274" s="3" t="s">
        <v>381</v>
      </c>
      <c r="F274" s="35"/>
      <c r="G274" s="35"/>
      <c r="H274" s="35"/>
      <c r="I274" s="35"/>
      <c r="J274" s="35"/>
      <c r="K274" s="35"/>
      <c r="L274" s="35"/>
      <c r="M274" s="35">
        <f t="shared" si="155"/>
        <v>0</v>
      </c>
      <c r="N274" s="35" t="e">
        <f t="shared" si="166"/>
        <v>#DIV/0!</v>
      </c>
    </row>
    <row r="275" spans="2:14" x14ac:dyDescent="0.3">
      <c r="B275" s="27"/>
      <c r="C275" s="17"/>
      <c r="D275" s="3">
        <v>2173</v>
      </c>
      <c r="E275" s="3" t="s">
        <v>382</v>
      </c>
      <c r="F275" s="35"/>
      <c r="G275" s="35"/>
      <c r="H275" s="35"/>
      <c r="I275" s="35"/>
      <c r="J275" s="35"/>
      <c r="K275" s="35"/>
      <c r="L275" s="35"/>
      <c r="M275" s="35">
        <f t="shared" si="155"/>
        <v>0</v>
      </c>
      <c r="N275" s="35" t="e">
        <f t="shared" si="166"/>
        <v>#DIV/0!</v>
      </c>
    </row>
    <row r="276" spans="2:14" x14ac:dyDescent="0.3">
      <c r="B276" s="27"/>
      <c r="C276" s="17"/>
      <c r="D276" s="3">
        <v>2174</v>
      </c>
      <c r="E276" s="3" t="s">
        <v>383</v>
      </c>
      <c r="F276" s="35"/>
      <c r="G276" s="35"/>
      <c r="H276" s="35"/>
      <c r="I276" s="35"/>
      <c r="J276" s="35"/>
      <c r="K276" s="35"/>
      <c r="L276" s="35"/>
      <c r="M276" s="35">
        <f t="shared" si="155"/>
        <v>0</v>
      </c>
      <c r="N276" s="35" t="e">
        <f t="shared" si="166"/>
        <v>#DIV/0!</v>
      </c>
    </row>
    <row r="277" spans="2:14" x14ac:dyDescent="0.3">
      <c r="B277" s="27"/>
      <c r="C277" s="17"/>
      <c r="D277" s="3">
        <v>2175</v>
      </c>
      <c r="E277" s="3" t="s">
        <v>384</v>
      </c>
      <c r="F277" s="35"/>
      <c r="G277" s="35"/>
      <c r="H277" s="35"/>
      <c r="I277" s="35"/>
      <c r="J277" s="35"/>
      <c r="K277" s="35"/>
      <c r="L277" s="35"/>
      <c r="M277" s="35">
        <f t="shared" si="155"/>
        <v>0</v>
      </c>
      <c r="N277" s="35" t="e">
        <f t="shared" si="166"/>
        <v>#DIV/0!</v>
      </c>
    </row>
    <row r="278" spans="2:14" x14ac:dyDescent="0.3">
      <c r="B278" s="27"/>
      <c r="C278" s="17"/>
      <c r="D278" s="3">
        <v>2176</v>
      </c>
      <c r="E278" s="3" t="s">
        <v>385</v>
      </c>
      <c r="F278" s="35"/>
      <c r="G278" s="35"/>
      <c r="H278" s="35"/>
      <c r="I278" s="35"/>
      <c r="J278" s="35"/>
      <c r="K278" s="35"/>
      <c r="L278" s="35"/>
      <c r="M278" s="35">
        <f t="shared" si="155"/>
        <v>0</v>
      </c>
      <c r="N278" s="35" t="e">
        <f t="shared" si="166"/>
        <v>#DIV/0!</v>
      </c>
    </row>
    <row r="279" spans="2:14" x14ac:dyDescent="0.3">
      <c r="B279" s="27"/>
      <c r="C279" s="17"/>
      <c r="D279" s="3">
        <v>2178</v>
      </c>
      <c r="E279" s="3" t="s">
        <v>386</v>
      </c>
      <c r="F279" s="35"/>
      <c r="G279" s="35"/>
      <c r="H279" s="35"/>
      <c r="I279" s="35"/>
      <c r="J279" s="35"/>
      <c r="K279" s="35"/>
      <c r="L279" s="35"/>
      <c r="M279" s="35">
        <f t="shared" si="155"/>
        <v>0</v>
      </c>
      <c r="N279" s="35" t="e">
        <f t="shared" si="166"/>
        <v>#DIV/0!</v>
      </c>
    </row>
    <row r="280" spans="2:14" s="10" customFormat="1" x14ac:dyDescent="0.3">
      <c r="B280" s="27"/>
      <c r="C280" s="17">
        <v>218</v>
      </c>
      <c r="D280" s="17"/>
      <c r="E280" s="17" t="s">
        <v>131</v>
      </c>
      <c r="F280" s="53">
        <f>SUM(F281:F284)</f>
        <v>0</v>
      </c>
      <c r="G280" s="53">
        <f t="shared" ref="G280:L280" si="167">SUM(G281:G284)</f>
        <v>0</v>
      </c>
      <c r="H280" s="53">
        <f t="shared" si="167"/>
        <v>0</v>
      </c>
      <c r="I280" s="53">
        <f t="shared" si="167"/>
        <v>0</v>
      </c>
      <c r="J280" s="53">
        <f t="shared" si="167"/>
        <v>0</v>
      </c>
      <c r="K280" s="53">
        <f t="shared" si="167"/>
        <v>0</v>
      </c>
      <c r="L280" s="53">
        <f t="shared" si="167"/>
        <v>0</v>
      </c>
      <c r="M280" s="35">
        <f t="shared" si="155"/>
        <v>0</v>
      </c>
      <c r="N280" s="53"/>
    </row>
    <row r="281" spans="2:14" x14ac:dyDescent="0.3">
      <c r="B281" s="27"/>
      <c r="C281" s="17"/>
      <c r="D281" s="3">
        <v>2181</v>
      </c>
      <c r="E281" s="3" t="s">
        <v>387</v>
      </c>
      <c r="F281" s="35"/>
      <c r="G281" s="35"/>
      <c r="H281" s="35"/>
      <c r="I281" s="35"/>
      <c r="J281" s="35"/>
      <c r="K281" s="35"/>
      <c r="L281" s="35"/>
      <c r="M281" s="35">
        <f t="shared" si="155"/>
        <v>0</v>
      </c>
      <c r="N281" s="35" t="e">
        <f t="shared" ref="N281:N284" si="168">K281/I281</f>
        <v>#DIV/0!</v>
      </c>
    </row>
    <row r="282" spans="2:14" x14ac:dyDescent="0.3">
      <c r="B282" s="27"/>
      <c r="C282" s="17"/>
      <c r="D282" s="3">
        <v>2182</v>
      </c>
      <c r="E282" s="3" t="s">
        <v>388</v>
      </c>
      <c r="F282" s="35"/>
      <c r="G282" s="35"/>
      <c r="H282" s="35"/>
      <c r="I282" s="35"/>
      <c r="J282" s="35"/>
      <c r="K282" s="35"/>
      <c r="L282" s="35"/>
      <c r="M282" s="35">
        <f t="shared" si="155"/>
        <v>0</v>
      </c>
      <c r="N282" s="35" t="e">
        <f t="shared" si="168"/>
        <v>#DIV/0!</v>
      </c>
    </row>
    <row r="283" spans="2:14" x14ac:dyDescent="0.3">
      <c r="B283" s="27"/>
      <c r="C283" s="17"/>
      <c r="D283" s="3">
        <v>2183</v>
      </c>
      <c r="E283" s="3" t="s">
        <v>389</v>
      </c>
      <c r="F283" s="35"/>
      <c r="G283" s="35"/>
      <c r="H283" s="35"/>
      <c r="I283" s="35"/>
      <c r="J283" s="35"/>
      <c r="K283" s="35"/>
      <c r="L283" s="35"/>
      <c r="M283" s="35">
        <f t="shared" si="155"/>
        <v>0</v>
      </c>
      <c r="N283" s="35" t="e">
        <f t="shared" si="168"/>
        <v>#DIV/0!</v>
      </c>
    </row>
    <row r="284" spans="2:14" x14ac:dyDescent="0.3">
      <c r="B284" s="27"/>
      <c r="C284" s="17"/>
      <c r="D284" s="3">
        <v>2188</v>
      </c>
      <c r="E284" s="3" t="s">
        <v>131</v>
      </c>
      <c r="F284" s="35"/>
      <c r="G284" s="35"/>
      <c r="H284" s="35"/>
      <c r="I284" s="35"/>
      <c r="J284" s="35"/>
      <c r="K284" s="35"/>
      <c r="L284" s="35"/>
      <c r="M284" s="35">
        <f t="shared" si="155"/>
        <v>0</v>
      </c>
      <c r="N284" s="35" t="e">
        <f t="shared" si="168"/>
        <v>#DIV/0!</v>
      </c>
    </row>
    <row r="285" spans="2:14" s="10" customFormat="1" ht="30" customHeight="1" x14ac:dyDescent="0.3">
      <c r="B285" s="27"/>
      <c r="C285" s="17"/>
      <c r="D285" s="17"/>
      <c r="E285" s="2" t="s">
        <v>169</v>
      </c>
      <c r="F285" s="43">
        <f>F194+F208+F223</f>
        <v>0</v>
      </c>
      <c r="G285" s="43">
        <f t="shared" ref="G285:M285" si="169">G194+G208+G223</f>
        <v>0</v>
      </c>
      <c r="H285" s="43">
        <f t="shared" si="169"/>
        <v>0</v>
      </c>
      <c r="I285" s="43">
        <f t="shared" si="169"/>
        <v>0</v>
      </c>
      <c r="J285" s="43">
        <f t="shared" si="169"/>
        <v>0</v>
      </c>
      <c r="K285" s="43">
        <f t="shared" si="169"/>
        <v>0</v>
      </c>
      <c r="L285" s="43">
        <f t="shared" si="169"/>
        <v>0</v>
      </c>
      <c r="M285" s="43">
        <f t="shared" si="169"/>
        <v>0</v>
      </c>
      <c r="N285" s="43" t="e">
        <f>K285/I285</f>
        <v>#DIV/0!</v>
      </c>
    </row>
    <row r="286" spans="2:14" s="10" customFormat="1" ht="30" customHeight="1" x14ac:dyDescent="0.3">
      <c r="B286" s="27">
        <v>20</v>
      </c>
      <c r="C286" s="17"/>
      <c r="D286" s="17"/>
      <c r="E286" s="17" t="s">
        <v>167</v>
      </c>
      <c r="F286" s="43"/>
      <c r="G286" s="43"/>
      <c r="H286" s="43"/>
      <c r="I286" s="43"/>
      <c r="J286" s="43"/>
      <c r="K286" s="43"/>
      <c r="L286" s="43"/>
      <c r="M286" s="43">
        <f t="shared" si="155"/>
        <v>0</v>
      </c>
      <c r="N286" s="43"/>
    </row>
    <row r="287" spans="2:14" s="10" customFormat="1" ht="30" customHeight="1" x14ac:dyDescent="0.3">
      <c r="B287" s="27">
        <v>21</v>
      </c>
      <c r="C287" s="17"/>
      <c r="D287" s="17"/>
      <c r="E287" s="17" t="s">
        <v>168</v>
      </c>
      <c r="F287" s="43"/>
      <c r="G287" s="43"/>
      <c r="H287" s="43"/>
      <c r="I287" s="43"/>
      <c r="J287" s="43"/>
      <c r="K287" s="43"/>
      <c r="L287" s="43"/>
      <c r="M287" s="43">
        <f t="shared" si="155"/>
        <v>0</v>
      </c>
      <c r="N287" s="43"/>
    </row>
    <row r="288" spans="2:14" s="10" customFormat="1" ht="30" customHeight="1" x14ac:dyDescent="0.3">
      <c r="B288" s="27"/>
      <c r="C288" s="17"/>
      <c r="D288" s="17"/>
      <c r="E288" s="2" t="s">
        <v>170</v>
      </c>
      <c r="F288" s="43">
        <f>SUM(F286:F287)</f>
        <v>0</v>
      </c>
      <c r="G288" s="43">
        <f t="shared" ref="G288:L288" si="170">SUM(G286:G287)</f>
        <v>0</v>
      </c>
      <c r="H288" s="43">
        <f t="shared" si="170"/>
        <v>0</v>
      </c>
      <c r="I288" s="43">
        <f t="shared" si="170"/>
        <v>0</v>
      </c>
      <c r="J288" s="43">
        <f t="shared" si="170"/>
        <v>0</v>
      </c>
      <c r="K288" s="43">
        <f t="shared" si="170"/>
        <v>0</v>
      </c>
      <c r="L288" s="43">
        <f t="shared" si="170"/>
        <v>0</v>
      </c>
      <c r="M288" s="43">
        <f>SUM(M286:M287)</f>
        <v>0</v>
      </c>
      <c r="N288" s="43" t="e">
        <f>K288/I288</f>
        <v>#DIV/0!</v>
      </c>
    </row>
    <row r="289" spans="2:14" s="10" customFormat="1" ht="30" customHeight="1" x14ac:dyDescent="0.3">
      <c r="B289" s="27"/>
      <c r="C289" s="17"/>
      <c r="D289" s="17"/>
      <c r="E289" s="2" t="s">
        <v>103</v>
      </c>
      <c r="F289" s="43">
        <f>F285+F288</f>
        <v>0</v>
      </c>
      <c r="G289" s="43">
        <f t="shared" ref="G289:M289" si="171">G285+G288</f>
        <v>0</v>
      </c>
      <c r="H289" s="43">
        <f t="shared" si="171"/>
        <v>0</v>
      </c>
      <c r="I289" s="43">
        <f t="shared" si="171"/>
        <v>0</v>
      </c>
      <c r="J289" s="43">
        <f t="shared" si="171"/>
        <v>0</v>
      </c>
      <c r="K289" s="43">
        <f t="shared" si="171"/>
        <v>0</v>
      </c>
      <c r="L289" s="43">
        <f t="shared" si="171"/>
        <v>0</v>
      </c>
      <c r="M289" s="43">
        <f t="shared" si="171"/>
        <v>0</v>
      </c>
      <c r="N289" s="43" t="e">
        <f>K289/I289</f>
        <v>#DIV/0!</v>
      </c>
    </row>
  </sheetData>
  <mergeCells count="3">
    <mergeCell ref="B2:N2"/>
    <mergeCell ref="B8:N8"/>
    <mergeCell ref="B192:N19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284F-247E-4832-B500-318911AA4F69}">
  <sheetPr>
    <tabColor theme="5" tint="0.59999389629810485"/>
  </sheetPr>
  <dimension ref="B2:N289"/>
  <sheetViews>
    <sheetView tabSelected="1" zoomScale="70" zoomScaleNormal="70" workbookViewId="0">
      <selection activeCell="E9" sqref="E9"/>
    </sheetView>
  </sheetViews>
  <sheetFormatPr baseColWidth="10" defaultColWidth="11.5546875" defaultRowHeight="14.4" x14ac:dyDescent="0.3"/>
  <cols>
    <col min="1" max="1" width="11.5546875" style="8"/>
    <col min="2" max="2" width="8.5546875" style="9" bestFit="1" customWidth="1"/>
    <col min="3" max="3" width="4.44140625" style="10" bestFit="1" customWidth="1"/>
    <col min="4" max="4" width="5.5546875" style="8" bestFit="1" customWidth="1"/>
    <col min="5" max="5" width="61.5546875" style="8" bestFit="1" customWidth="1"/>
    <col min="6" max="6" width="17" style="51" customWidth="1"/>
    <col min="7" max="7" width="22.33203125" style="51" customWidth="1"/>
    <col min="8" max="8" width="16.44140625" style="51" customWidth="1"/>
    <col min="9" max="10" width="17.21875" style="51" customWidth="1"/>
    <col min="11" max="11" width="14.77734375" style="51" customWidth="1"/>
    <col min="12" max="12" width="18.44140625" style="51" customWidth="1"/>
    <col min="13" max="13" width="17.33203125" style="51" customWidth="1"/>
    <col min="14" max="14" width="21.33203125" style="51" customWidth="1"/>
    <col min="15" max="16384" width="11.5546875" style="8"/>
  </cols>
  <sheetData>
    <row r="2" spans="2:14" ht="18" x14ac:dyDescent="0.3">
      <c r="B2" s="70" t="s">
        <v>152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2:14" x14ac:dyDescent="0.3">
      <c r="F3" s="31"/>
      <c r="G3" s="39"/>
      <c r="H3" s="39"/>
      <c r="I3" s="39"/>
      <c r="J3" s="39"/>
      <c r="K3" s="31"/>
      <c r="L3" s="31"/>
      <c r="M3" s="31"/>
    </row>
    <row r="4" spans="2:14" x14ac:dyDescent="0.3">
      <c r="E4" s="10" t="s">
        <v>147</v>
      </c>
      <c r="F4" s="31"/>
      <c r="G4" s="31"/>
      <c r="H4" s="40"/>
      <c r="I4" s="31"/>
      <c r="J4" s="31"/>
      <c r="K4" s="31"/>
      <c r="L4" s="31"/>
      <c r="M4" s="31"/>
    </row>
    <row r="5" spans="2:14" x14ac:dyDescent="0.3">
      <c r="E5" s="10"/>
      <c r="F5" s="32"/>
      <c r="G5" s="32"/>
      <c r="H5" s="39"/>
      <c r="I5" s="32"/>
      <c r="J5" s="32"/>
      <c r="K5" s="32"/>
      <c r="L5" s="32"/>
      <c r="M5" s="32"/>
      <c r="N5" s="52"/>
    </row>
    <row r="6" spans="2:14" ht="28.95" customHeight="1" x14ac:dyDescent="0.3">
      <c r="E6" s="50" t="s">
        <v>418</v>
      </c>
      <c r="F6" s="32"/>
      <c r="G6" s="32"/>
      <c r="H6" s="39"/>
      <c r="I6" s="32"/>
      <c r="J6" s="32"/>
      <c r="K6" s="32"/>
      <c r="L6" s="32"/>
      <c r="M6" s="32"/>
      <c r="N6" s="52"/>
    </row>
    <row r="7" spans="2:14" x14ac:dyDescent="0.3">
      <c r="F7" s="32"/>
      <c r="G7" s="32"/>
      <c r="H7" s="39"/>
      <c r="I7" s="32"/>
      <c r="J7" s="32"/>
      <c r="K7" s="32"/>
      <c r="L7" s="32"/>
      <c r="M7" s="32"/>
      <c r="N7" s="52"/>
    </row>
    <row r="8" spans="2:14" ht="28.95" customHeight="1" x14ac:dyDescent="0.3">
      <c r="B8" s="71" t="s">
        <v>164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</row>
    <row r="9" spans="2:14" s="11" customFormat="1" ht="28.8" x14ac:dyDescent="0.3">
      <c r="B9" s="26" t="s">
        <v>138</v>
      </c>
      <c r="C9" s="44"/>
      <c r="D9" s="48"/>
      <c r="E9" s="45" t="s">
        <v>150</v>
      </c>
      <c r="F9" s="41" t="s">
        <v>139</v>
      </c>
      <c r="G9" s="41" t="s">
        <v>140</v>
      </c>
      <c r="H9" s="41" t="s">
        <v>141</v>
      </c>
      <c r="I9" s="41" t="s">
        <v>142</v>
      </c>
      <c r="J9" s="41" t="s">
        <v>171</v>
      </c>
      <c r="K9" s="41" t="s">
        <v>172</v>
      </c>
      <c r="L9" s="41" t="s">
        <v>173</v>
      </c>
      <c r="M9" s="41" t="s">
        <v>174</v>
      </c>
      <c r="N9" s="41" t="s">
        <v>396</v>
      </c>
    </row>
    <row r="10" spans="2:14" s="10" customFormat="1" ht="30" customHeight="1" x14ac:dyDescent="0.3">
      <c r="B10" s="27">
        <v>60</v>
      </c>
      <c r="C10" s="17"/>
      <c r="D10" s="17"/>
      <c r="E10" s="17" t="s">
        <v>153</v>
      </c>
      <c r="F10" s="43">
        <f>SUM(F11,F14,F17,F20,F23)</f>
        <v>0</v>
      </c>
      <c r="G10" s="43">
        <f t="shared" ref="G10:M10" si="0">SUM(G11,G14,G17,G20,G23)</f>
        <v>0</v>
      </c>
      <c r="H10" s="43">
        <f t="shared" si="0"/>
        <v>0</v>
      </c>
      <c r="I10" s="43">
        <f t="shared" si="0"/>
        <v>0</v>
      </c>
      <c r="J10" s="43">
        <f t="shared" si="0"/>
        <v>0</v>
      </c>
      <c r="K10" s="43">
        <f t="shared" si="0"/>
        <v>0</v>
      </c>
      <c r="L10" s="43">
        <f t="shared" si="0"/>
        <v>0</v>
      </c>
      <c r="M10" s="43">
        <f t="shared" si="0"/>
        <v>0</v>
      </c>
      <c r="N10" s="43" t="e">
        <f>K10/I10</f>
        <v>#DIV/0!</v>
      </c>
    </row>
    <row r="11" spans="2:14" s="10" customFormat="1" x14ac:dyDescent="0.3">
      <c r="B11" s="27"/>
      <c r="C11" s="17">
        <v>601</v>
      </c>
      <c r="D11" s="3"/>
      <c r="E11" s="17" t="s">
        <v>175</v>
      </c>
      <c r="F11" s="43">
        <f>SUM(F12:F13)</f>
        <v>0</v>
      </c>
      <c r="G11" s="43">
        <f t="shared" ref="G11:L11" si="1">SUM(G12:G13)</f>
        <v>0</v>
      </c>
      <c r="H11" s="43">
        <f t="shared" si="1"/>
        <v>0</v>
      </c>
      <c r="I11" s="43">
        <f t="shared" si="1"/>
        <v>0</v>
      </c>
      <c r="J11" s="43">
        <f t="shared" si="1"/>
        <v>0</v>
      </c>
      <c r="K11" s="43">
        <f t="shared" si="1"/>
        <v>0</v>
      </c>
      <c r="L11" s="43">
        <f t="shared" si="1"/>
        <v>0</v>
      </c>
      <c r="M11" s="35">
        <f t="shared" ref="M11:M25" si="2">K11-L11</f>
        <v>0</v>
      </c>
      <c r="N11" s="43"/>
    </row>
    <row r="12" spans="2:14" x14ac:dyDescent="0.3">
      <c r="B12" s="27"/>
      <c r="C12" s="17"/>
      <c r="D12" s="3">
        <v>6011</v>
      </c>
      <c r="E12" s="3" t="s">
        <v>176</v>
      </c>
      <c r="F12" s="35"/>
      <c r="G12" s="35"/>
      <c r="H12" s="35"/>
      <c r="I12" s="35"/>
      <c r="J12" s="35"/>
      <c r="K12" s="35"/>
      <c r="L12" s="35"/>
      <c r="M12" s="35">
        <f t="shared" si="2"/>
        <v>0</v>
      </c>
      <c r="N12" s="35" t="e">
        <f>K12/I12</f>
        <v>#DIV/0!</v>
      </c>
    </row>
    <row r="13" spans="2:14" x14ac:dyDescent="0.3">
      <c r="B13" s="27"/>
      <c r="C13" s="17"/>
      <c r="D13" s="3">
        <v>6012</v>
      </c>
      <c r="E13" s="3" t="s">
        <v>177</v>
      </c>
      <c r="F13" s="35"/>
      <c r="G13" s="35"/>
      <c r="H13" s="35"/>
      <c r="I13" s="35"/>
      <c r="J13" s="35"/>
      <c r="K13" s="35"/>
      <c r="L13" s="35"/>
      <c r="M13" s="35">
        <f t="shared" si="2"/>
        <v>0</v>
      </c>
      <c r="N13" s="35" t="e">
        <f>K13/I13</f>
        <v>#DIV/0!</v>
      </c>
    </row>
    <row r="14" spans="2:14" s="10" customFormat="1" x14ac:dyDescent="0.3">
      <c r="B14" s="27"/>
      <c r="C14" s="17">
        <v>602</v>
      </c>
      <c r="D14" s="3"/>
      <c r="E14" s="17" t="s">
        <v>178</v>
      </c>
      <c r="F14" s="43">
        <f>SUM(F15:F16)</f>
        <v>0</v>
      </c>
      <c r="G14" s="43">
        <f t="shared" ref="G14:L14" si="3">SUM(G15:G16)</f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43">
        <f t="shared" si="3"/>
        <v>0</v>
      </c>
      <c r="L14" s="43">
        <f t="shared" si="3"/>
        <v>0</v>
      </c>
      <c r="M14" s="35">
        <f t="shared" si="2"/>
        <v>0</v>
      </c>
      <c r="N14" s="43"/>
    </row>
    <row r="15" spans="2:14" x14ac:dyDescent="0.3">
      <c r="B15" s="27"/>
      <c r="C15" s="17"/>
      <c r="D15" s="3">
        <v>6021</v>
      </c>
      <c r="E15" s="3" t="s">
        <v>176</v>
      </c>
      <c r="F15" s="35"/>
      <c r="G15" s="35"/>
      <c r="H15" s="35"/>
      <c r="I15" s="35"/>
      <c r="J15" s="35"/>
      <c r="K15" s="35"/>
      <c r="L15" s="35"/>
      <c r="M15" s="35">
        <f t="shared" si="2"/>
        <v>0</v>
      </c>
      <c r="N15" s="35" t="e">
        <f t="shared" ref="N15:N16" si="4">K15/I15</f>
        <v>#DIV/0!</v>
      </c>
    </row>
    <row r="16" spans="2:14" x14ac:dyDescent="0.3">
      <c r="B16" s="27"/>
      <c r="C16" s="17"/>
      <c r="D16" s="3">
        <v>6022</v>
      </c>
      <c r="E16" s="3" t="s">
        <v>177</v>
      </c>
      <c r="F16" s="35"/>
      <c r="G16" s="35"/>
      <c r="H16" s="35"/>
      <c r="I16" s="35"/>
      <c r="J16" s="35"/>
      <c r="K16" s="35"/>
      <c r="L16" s="35"/>
      <c r="M16" s="35">
        <f t="shared" si="2"/>
        <v>0</v>
      </c>
      <c r="N16" s="35" t="e">
        <f t="shared" si="4"/>
        <v>#DIV/0!</v>
      </c>
    </row>
    <row r="17" spans="2:14" s="10" customFormat="1" x14ac:dyDescent="0.3">
      <c r="B17" s="27"/>
      <c r="C17" s="17">
        <v>603</v>
      </c>
      <c r="D17" s="3"/>
      <c r="E17" s="17" t="s">
        <v>179</v>
      </c>
      <c r="F17" s="43">
        <f>SUM(F18:F19)</f>
        <v>0</v>
      </c>
      <c r="G17" s="43">
        <f t="shared" ref="G17:L17" si="5">SUM(G18:G19)</f>
        <v>0</v>
      </c>
      <c r="H17" s="43">
        <f t="shared" si="5"/>
        <v>0</v>
      </c>
      <c r="I17" s="43">
        <f t="shared" si="5"/>
        <v>0</v>
      </c>
      <c r="J17" s="43">
        <f t="shared" si="5"/>
        <v>0</v>
      </c>
      <c r="K17" s="43">
        <f t="shared" si="5"/>
        <v>0</v>
      </c>
      <c r="L17" s="43">
        <f t="shared" si="5"/>
        <v>0</v>
      </c>
      <c r="M17" s="35">
        <f t="shared" si="2"/>
        <v>0</v>
      </c>
      <c r="N17" s="43"/>
    </row>
    <row r="18" spans="2:14" x14ac:dyDescent="0.3">
      <c r="B18" s="27"/>
      <c r="C18" s="17"/>
      <c r="D18" s="3">
        <v>6031</v>
      </c>
      <c r="E18" s="3" t="s">
        <v>176</v>
      </c>
      <c r="F18" s="35"/>
      <c r="G18" s="35"/>
      <c r="H18" s="35"/>
      <c r="I18" s="35"/>
      <c r="J18" s="35"/>
      <c r="K18" s="35"/>
      <c r="L18" s="35"/>
      <c r="M18" s="35">
        <f t="shared" si="2"/>
        <v>0</v>
      </c>
      <c r="N18" s="35" t="e">
        <f t="shared" ref="N18:N19" si="6">K18/I18</f>
        <v>#DIV/0!</v>
      </c>
    </row>
    <row r="19" spans="2:14" x14ac:dyDescent="0.3">
      <c r="B19" s="27"/>
      <c r="C19" s="17"/>
      <c r="D19" s="3">
        <v>6032</v>
      </c>
      <c r="E19" s="3" t="s">
        <v>177</v>
      </c>
      <c r="F19" s="35"/>
      <c r="G19" s="35"/>
      <c r="H19" s="35"/>
      <c r="I19" s="35"/>
      <c r="J19" s="35"/>
      <c r="K19" s="35"/>
      <c r="L19" s="35"/>
      <c r="M19" s="35">
        <f t="shared" si="2"/>
        <v>0</v>
      </c>
      <c r="N19" s="35" t="e">
        <f t="shared" si="6"/>
        <v>#DIV/0!</v>
      </c>
    </row>
    <row r="20" spans="2:14" s="10" customFormat="1" x14ac:dyDescent="0.3">
      <c r="B20" s="27"/>
      <c r="C20" s="17">
        <v>604</v>
      </c>
      <c r="D20" s="3"/>
      <c r="E20" s="17" t="s">
        <v>180</v>
      </c>
      <c r="F20" s="43">
        <f>SUM(F21:F22)</f>
        <v>0</v>
      </c>
      <c r="G20" s="43">
        <f t="shared" ref="G20:L20" si="7">SUM(G21:G22)</f>
        <v>0</v>
      </c>
      <c r="H20" s="43">
        <f t="shared" si="7"/>
        <v>0</v>
      </c>
      <c r="I20" s="43">
        <f t="shared" si="7"/>
        <v>0</v>
      </c>
      <c r="J20" s="43">
        <f t="shared" si="7"/>
        <v>0</v>
      </c>
      <c r="K20" s="43">
        <f t="shared" si="7"/>
        <v>0</v>
      </c>
      <c r="L20" s="43">
        <f t="shared" si="7"/>
        <v>0</v>
      </c>
      <c r="M20" s="35">
        <f t="shared" si="2"/>
        <v>0</v>
      </c>
      <c r="N20" s="43"/>
    </row>
    <row r="21" spans="2:14" x14ac:dyDescent="0.3">
      <c r="B21" s="27"/>
      <c r="C21" s="17"/>
      <c r="D21" s="3">
        <v>6041</v>
      </c>
      <c r="E21" s="3" t="s">
        <v>176</v>
      </c>
      <c r="F21" s="35"/>
      <c r="G21" s="35"/>
      <c r="H21" s="35"/>
      <c r="I21" s="35"/>
      <c r="J21" s="35"/>
      <c r="K21" s="35"/>
      <c r="L21" s="35"/>
      <c r="M21" s="35">
        <f t="shared" si="2"/>
        <v>0</v>
      </c>
      <c r="N21" s="35" t="e">
        <f t="shared" ref="N21:N22" si="8">K21/I21</f>
        <v>#DIV/0!</v>
      </c>
    </row>
    <row r="22" spans="2:14" x14ac:dyDescent="0.3">
      <c r="B22" s="27"/>
      <c r="C22" s="17"/>
      <c r="D22" s="3">
        <v>6042</v>
      </c>
      <c r="E22" s="3" t="s">
        <v>177</v>
      </c>
      <c r="F22" s="35"/>
      <c r="G22" s="35"/>
      <c r="H22" s="35"/>
      <c r="I22" s="35"/>
      <c r="J22" s="35"/>
      <c r="K22" s="35"/>
      <c r="L22" s="35"/>
      <c r="M22" s="35">
        <f t="shared" si="2"/>
        <v>0</v>
      </c>
      <c r="N22" s="35" t="e">
        <f t="shared" si="8"/>
        <v>#DIV/0!</v>
      </c>
    </row>
    <row r="23" spans="2:14" s="10" customFormat="1" x14ac:dyDescent="0.3">
      <c r="B23" s="27"/>
      <c r="C23" s="17">
        <v>606</v>
      </c>
      <c r="D23" s="3"/>
      <c r="E23" s="17" t="s">
        <v>181</v>
      </c>
      <c r="F23" s="43">
        <f>SUM(F24:F28)</f>
        <v>0</v>
      </c>
      <c r="G23" s="43">
        <f t="shared" ref="G23:L23" si="9">SUM(G24:G28)</f>
        <v>0</v>
      </c>
      <c r="H23" s="43">
        <f t="shared" si="9"/>
        <v>0</v>
      </c>
      <c r="I23" s="43">
        <f t="shared" si="9"/>
        <v>0</v>
      </c>
      <c r="J23" s="43">
        <f t="shared" si="9"/>
        <v>0</v>
      </c>
      <c r="K23" s="43">
        <f t="shared" si="9"/>
        <v>0</v>
      </c>
      <c r="L23" s="43">
        <f t="shared" si="9"/>
        <v>0</v>
      </c>
      <c r="M23" s="35">
        <f t="shared" si="2"/>
        <v>0</v>
      </c>
      <c r="N23" s="43"/>
    </row>
    <row r="24" spans="2:14" x14ac:dyDescent="0.3">
      <c r="B24" s="27"/>
      <c r="C24" s="17"/>
      <c r="D24" s="3">
        <v>6061</v>
      </c>
      <c r="E24" s="3" t="s">
        <v>183</v>
      </c>
      <c r="F24" s="35"/>
      <c r="G24" s="35"/>
      <c r="H24" s="35"/>
      <c r="I24" s="35"/>
      <c r="J24" s="35"/>
      <c r="K24" s="35"/>
      <c r="L24" s="35"/>
      <c r="M24" s="35">
        <f t="shared" si="2"/>
        <v>0</v>
      </c>
      <c r="N24" s="35" t="e">
        <f t="shared" ref="N24:N28" si="10">K24/I24</f>
        <v>#DIV/0!</v>
      </c>
    </row>
    <row r="25" spans="2:14" x14ac:dyDescent="0.3">
      <c r="B25" s="27"/>
      <c r="C25" s="17"/>
      <c r="D25" s="3">
        <v>6062</v>
      </c>
      <c r="E25" s="3" t="s">
        <v>182</v>
      </c>
      <c r="F25" s="35"/>
      <c r="G25" s="35"/>
      <c r="H25" s="35"/>
      <c r="I25" s="35"/>
      <c r="J25" s="35"/>
      <c r="K25" s="35"/>
      <c r="L25" s="35"/>
      <c r="M25" s="35">
        <f t="shared" si="2"/>
        <v>0</v>
      </c>
      <c r="N25" s="35" t="e">
        <f t="shared" si="10"/>
        <v>#DIV/0!</v>
      </c>
    </row>
    <row r="26" spans="2:14" x14ac:dyDescent="0.3">
      <c r="B26" s="27"/>
      <c r="C26" s="17"/>
      <c r="D26" s="3">
        <v>6063</v>
      </c>
      <c r="E26" s="3" t="s">
        <v>184</v>
      </c>
      <c r="F26" s="35"/>
      <c r="G26" s="35"/>
      <c r="H26" s="35"/>
      <c r="I26" s="35"/>
      <c r="J26" s="35"/>
      <c r="K26" s="35"/>
      <c r="L26" s="35"/>
      <c r="M26" s="35">
        <f t="shared" ref="M26:M28" si="11">K26-L26</f>
        <v>0</v>
      </c>
      <c r="N26" s="35" t="e">
        <f t="shared" si="10"/>
        <v>#DIV/0!</v>
      </c>
    </row>
    <row r="27" spans="2:14" x14ac:dyDescent="0.3">
      <c r="B27" s="27"/>
      <c r="C27" s="17"/>
      <c r="D27" s="3">
        <v>6064</v>
      </c>
      <c r="E27" s="3" t="s">
        <v>185</v>
      </c>
      <c r="F27" s="35"/>
      <c r="G27" s="35"/>
      <c r="H27" s="35"/>
      <c r="I27" s="35"/>
      <c r="J27" s="35"/>
      <c r="K27" s="35"/>
      <c r="L27" s="35"/>
      <c r="M27" s="35">
        <f t="shared" si="11"/>
        <v>0</v>
      </c>
      <c r="N27" s="35" t="e">
        <f t="shared" si="10"/>
        <v>#DIV/0!</v>
      </c>
    </row>
    <row r="28" spans="2:14" x14ac:dyDescent="0.3">
      <c r="B28" s="27"/>
      <c r="C28" s="17"/>
      <c r="D28" s="3">
        <v>6068</v>
      </c>
      <c r="E28" s="3" t="s">
        <v>186</v>
      </c>
      <c r="F28" s="35"/>
      <c r="G28" s="35"/>
      <c r="H28" s="35"/>
      <c r="I28" s="35"/>
      <c r="J28" s="35"/>
      <c r="K28" s="35"/>
      <c r="L28" s="35"/>
      <c r="M28" s="35">
        <f t="shared" si="11"/>
        <v>0</v>
      </c>
      <c r="N28" s="35" t="e">
        <f t="shared" si="10"/>
        <v>#DIV/0!</v>
      </c>
    </row>
    <row r="29" spans="2:14" s="10" customFormat="1" ht="30" customHeight="1" x14ac:dyDescent="0.3">
      <c r="B29" s="27">
        <v>61</v>
      </c>
      <c r="C29" s="17"/>
      <c r="D29" s="17"/>
      <c r="E29" s="17" t="s">
        <v>154</v>
      </c>
      <c r="F29" s="43">
        <f>SUM(F30,F38,F47,F51,F56)</f>
        <v>0</v>
      </c>
      <c r="G29" s="43">
        <f t="shared" ref="G29:M29" si="12">SUM(G30,G38,G47,G51,G56)</f>
        <v>0</v>
      </c>
      <c r="H29" s="43">
        <f t="shared" si="12"/>
        <v>0</v>
      </c>
      <c r="I29" s="43">
        <f t="shared" si="12"/>
        <v>0</v>
      </c>
      <c r="J29" s="43">
        <f t="shared" si="12"/>
        <v>0</v>
      </c>
      <c r="K29" s="43">
        <f t="shared" si="12"/>
        <v>0</v>
      </c>
      <c r="L29" s="43">
        <f t="shared" si="12"/>
        <v>0</v>
      </c>
      <c r="M29" s="43">
        <f t="shared" si="12"/>
        <v>0</v>
      </c>
      <c r="N29" s="43" t="e">
        <f>K29/I29</f>
        <v>#DIV/0!</v>
      </c>
    </row>
    <row r="30" spans="2:14" s="10" customFormat="1" x14ac:dyDescent="0.3">
      <c r="B30" s="27"/>
      <c r="C30" s="17">
        <v>611</v>
      </c>
      <c r="D30" s="3"/>
      <c r="E30" s="17" t="s">
        <v>187</v>
      </c>
      <c r="F30" s="43">
        <f>SUM(F31:F37)</f>
        <v>0</v>
      </c>
      <c r="G30" s="43">
        <f t="shared" ref="G30:L30" si="13">SUM(G31:G37)</f>
        <v>0</v>
      </c>
      <c r="H30" s="43">
        <f t="shared" si="13"/>
        <v>0</v>
      </c>
      <c r="I30" s="43">
        <f t="shared" si="13"/>
        <v>0</v>
      </c>
      <c r="J30" s="43">
        <f t="shared" si="13"/>
        <v>0</v>
      </c>
      <c r="K30" s="43">
        <f t="shared" si="13"/>
        <v>0</v>
      </c>
      <c r="L30" s="43">
        <f t="shared" si="13"/>
        <v>0</v>
      </c>
      <c r="M30" s="35">
        <f t="shared" ref="M30:M59" si="14">K30-L30</f>
        <v>0</v>
      </c>
      <c r="N30" s="43"/>
    </row>
    <row r="31" spans="2:14" x14ac:dyDescent="0.3">
      <c r="B31" s="27"/>
      <c r="C31" s="17"/>
      <c r="D31" s="3">
        <v>6111</v>
      </c>
      <c r="E31" s="3" t="s">
        <v>188</v>
      </c>
      <c r="F31" s="35"/>
      <c r="G31" s="35"/>
      <c r="H31" s="35"/>
      <c r="I31" s="35"/>
      <c r="J31" s="35"/>
      <c r="K31" s="35"/>
      <c r="L31" s="35"/>
      <c r="M31" s="35">
        <f t="shared" si="14"/>
        <v>0</v>
      </c>
      <c r="N31" s="35" t="e">
        <f t="shared" ref="N31:N37" si="15">K31/I31</f>
        <v>#DIV/0!</v>
      </c>
    </row>
    <row r="32" spans="2:14" x14ac:dyDescent="0.3">
      <c r="B32" s="27"/>
      <c r="C32" s="17"/>
      <c r="D32" s="3">
        <v>6112</v>
      </c>
      <c r="E32" s="3" t="s">
        <v>189</v>
      </c>
      <c r="F32" s="35"/>
      <c r="G32" s="35"/>
      <c r="H32" s="35"/>
      <c r="I32" s="35"/>
      <c r="J32" s="35"/>
      <c r="K32" s="35"/>
      <c r="L32" s="35"/>
      <c r="M32" s="35">
        <f t="shared" si="14"/>
        <v>0</v>
      </c>
      <c r="N32" s="35" t="e">
        <f t="shared" si="15"/>
        <v>#DIV/0!</v>
      </c>
    </row>
    <row r="33" spans="2:14" x14ac:dyDescent="0.3">
      <c r="B33" s="27"/>
      <c r="C33" s="17"/>
      <c r="D33" s="3">
        <v>6113</v>
      </c>
      <c r="E33" s="3" t="s">
        <v>190</v>
      </c>
      <c r="F33" s="35"/>
      <c r="G33" s="35"/>
      <c r="H33" s="35"/>
      <c r="I33" s="35"/>
      <c r="J33" s="35"/>
      <c r="K33" s="35"/>
      <c r="L33" s="35"/>
      <c r="M33" s="35">
        <f t="shared" si="14"/>
        <v>0</v>
      </c>
      <c r="N33" s="35" t="e">
        <f t="shared" si="15"/>
        <v>#DIV/0!</v>
      </c>
    </row>
    <row r="34" spans="2:14" x14ac:dyDescent="0.3">
      <c r="B34" s="27"/>
      <c r="C34" s="17"/>
      <c r="D34" s="3">
        <v>6114</v>
      </c>
      <c r="E34" s="3" t="s">
        <v>191</v>
      </c>
      <c r="F34" s="35"/>
      <c r="G34" s="35"/>
      <c r="H34" s="35"/>
      <c r="I34" s="35"/>
      <c r="J34" s="35"/>
      <c r="K34" s="35"/>
      <c r="L34" s="35"/>
      <c r="M34" s="35">
        <f t="shared" si="14"/>
        <v>0</v>
      </c>
      <c r="N34" s="35" t="e">
        <f t="shared" si="15"/>
        <v>#DIV/0!</v>
      </c>
    </row>
    <row r="35" spans="2:14" x14ac:dyDescent="0.3">
      <c r="B35" s="27"/>
      <c r="C35" s="17"/>
      <c r="D35" s="3">
        <v>6115</v>
      </c>
      <c r="E35" s="3" t="s">
        <v>192</v>
      </c>
      <c r="F35" s="35"/>
      <c r="G35" s="35"/>
      <c r="H35" s="35"/>
      <c r="I35" s="35"/>
      <c r="J35" s="35"/>
      <c r="K35" s="35"/>
      <c r="L35" s="35"/>
      <c r="M35" s="35">
        <f t="shared" si="14"/>
        <v>0</v>
      </c>
      <c r="N35" s="35" t="e">
        <f t="shared" si="15"/>
        <v>#DIV/0!</v>
      </c>
    </row>
    <row r="36" spans="2:14" x14ac:dyDescent="0.3">
      <c r="B36" s="27"/>
      <c r="C36" s="17"/>
      <c r="D36" s="3">
        <v>6116</v>
      </c>
      <c r="E36" s="3" t="s">
        <v>193</v>
      </c>
      <c r="F36" s="35"/>
      <c r="G36" s="35"/>
      <c r="H36" s="35"/>
      <c r="I36" s="35"/>
      <c r="J36" s="35"/>
      <c r="K36" s="35"/>
      <c r="L36" s="35"/>
      <c r="M36" s="35">
        <f t="shared" si="14"/>
        <v>0</v>
      </c>
      <c r="N36" s="35" t="e">
        <f t="shared" si="15"/>
        <v>#DIV/0!</v>
      </c>
    </row>
    <row r="37" spans="2:14" x14ac:dyDescent="0.3">
      <c r="B37" s="27"/>
      <c r="C37" s="17"/>
      <c r="D37" s="3">
        <v>6117</v>
      </c>
      <c r="E37" s="3" t="s">
        <v>194</v>
      </c>
      <c r="F37" s="35"/>
      <c r="G37" s="35"/>
      <c r="H37" s="35"/>
      <c r="I37" s="35"/>
      <c r="J37" s="35"/>
      <c r="K37" s="35"/>
      <c r="L37" s="35"/>
      <c r="M37" s="35">
        <f t="shared" si="14"/>
        <v>0</v>
      </c>
      <c r="N37" s="35" t="e">
        <f t="shared" si="15"/>
        <v>#DIV/0!</v>
      </c>
    </row>
    <row r="38" spans="2:14" s="10" customFormat="1" x14ac:dyDescent="0.3">
      <c r="B38" s="27"/>
      <c r="C38" s="17">
        <v>612</v>
      </c>
      <c r="D38" s="3"/>
      <c r="E38" s="17" t="s">
        <v>195</v>
      </c>
      <c r="F38" s="43">
        <f>SUM(F39:F46)</f>
        <v>0</v>
      </c>
      <c r="G38" s="43">
        <f t="shared" ref="G38:L38" si="16">SUM(G39:G46)</f>
        <v>0</v>
      </c>
      <c r="H38" s="43">
        <f t="shared" si="16"/>
        <v>0</v>
      </c>
      <c r="I38" s="43">
        <f t="shared" si="16"/>
        <v>0</v>
      </c>
      <c r="J38" s="43">
        <f t="shared" si="16"/>
        <v>0</v>
      </c>
      <c r="K38" s="43">
        <f t="shared" si="16"/>
        <v>0</v>
      </c>
      <c r="L38" s="43">
        <f t="shared" si="16"/>
        <v>0</v>
      </c>
      <c r="M38" s="35">
        <f t="shared" si="14"/>
        <v>0</v>
      </c>
      <c r="N38" s="43"/>
    </row>
    <row r="39" spans="2:14" x14ac:dyDescent="0.3">
      <c r="B39" s="27"/>
      <c r="C39" s="17"/>
      <c r="D39" s="3">
        <v>6121</v>
      </c>
      <c r="E39" s="3" t="s">
        <v>196</v>
      </c>
      <c r="F39" s="35"/>
      <c r="G39" s="35"/>
      <c r="H39" s="35"/>
      <c r="I39" s="35"/>
      <c r="J39" s="35"/>
      <c r="K39" s="35"/>
      <c r="L39" s="35"/>
      <c r="M39" s="35">
        <f t="shared" si="14"/>
        <v>0</v>
      </c>
      <c r="N39" s="35" t="e">
        <f t="shared" ref="N39:N46" si="17">K39/I39</f>
        <v>#DIV/0!</v>
      </c>
    </row>
    <row r="40" spans="2:14" x14ac:dyDescent="0.3">
      <c r="B40" s="27"/>
      <c r="C40" s="17"/>
      <c r="D40" s="3">
        <v>6122</v>
      </c>
      <c r="E40" s="3" t="s">
        <v>197</v>
      </c>
      <c r="F40" s="35"/>
      <c r="G40" s="35"/>
      <c r="H40" s="35"/>
      <c r="I40" s="35"/>
      <c r="J40" s="35"/>
      <c r="K40" s="35"/>
      <c r="L40" s="35"/>
      <c r="M40" s="35">
        <f t="shared" si="14"/>
        <v>0</v>
      </c>
      <c r="N40" s="35" t="e">
        <f t="shared" si="17"/>
        <v>#DIV/0!</v>
      </c>
    </row>
    <row r="41" spans="2:14" x14ac:dyDescent="0.3">
      <c r="B41" s="27"/>
      <c r="C41" s="17"/>
      <c r="D41" s="3">
        <v>6123</v>
      </c>
      <c r="E41" s="3" t="s">
        <v>198</v>
      </c>
      <c r="F41" s="35"/>
      <c r="G41" s="35"/>
      <c r="H41" s="35"/>
      <c r="I41" s="35"/>
      <c r="J41" s="35"/>
      <c r="K41" s="35"/>
      <c r="L41" s="35"/>
      <c r="M41" s="35">
        <f t="shared" si="14"/>
        <v>0</v>
      </c>
      <c r="N41" s="35" t="e">
        <f t="shared" si="17"/>
        <v>#DIV/0!</v>
      </c>
    </row>
    <row r="42" spans="2:14" x14ac:dyDescent="0.3">
      <c r="B42" s="27"/>
      <c r="C42" s="17"/>
      <c r="D42" s="3">
        <v>6124</v>
      </c>
      <c r="E42" s="3" t="s">
        <v>199</v>
      </c>
      <c r="F42" s="35"/>
      <c r="G42" s="35"/>
      <c r="H42" s="35"/>
      <c r="I42" s="35"/>
      <c r="J42" s="35"/>
      <c r="K42" s="35"/>
      <c r="L42" s="35"/>
      <c r="M42" s="35">
        <f t="shared" si="14"/>
        <v>0</v>
      </c>
      <c r="N42" s="35" t="e">
        <f t="shared" si="17"/>
        <v>#DIV/0!</v>
      </c>
    </row>
    <row r="43" spans="2:14" x14ac:dyDescent="0.3">
      <c r="B43" s="27"/>
      <c r="C43" s="17"/>
      <c r="D43" s="3">
        <v>6125</v>
      </c>
      <c r="E43" s="3" t="s">
        <v>200</v>
      </c>
      <c r="F43" s="35"/>
      <c r="G43" s="35"/>
      <c r="H43" s="35"/>
      <c r="I43" s="35"/>
      <c r="J43" s="35"/>
      <c r="K43" s="35"/>
      <c r="L43" s="35"/>
      <c r="M43" s="35">
        <f t="shared" si="14"/>
        <v>0</v>
      </c>
      <c r="N43" s="35" t="e">
        <f t="shared" si="17"/>
        <v>#DIV/0!</v>
      </c>
    </row>
    <row r="44" spans="2:14" x14ac:dyDescent="0.3">
      <c r="B44" s="27"/>
      <c r="C44" s="17"/>
      <c r="D44" s="3">
        <v>6126</v>
      </c>
      <c r="E44" s="3" t="s">
        <v>201</v>
      </c>
      <c r="F44" s="35"/>
      <c r="G44" s="35"/>
      <c r="H44" s="35"/>
      <c r="I44" s="35"/>
      <c r="J44" s="35"/>
      <c r="K44" s="35"/>
      <c r="L44" s="35"/>
      <c r="M44" s="35">
        <f t="shared" si="14"/>
        <v>0</v>
      </c>
      <c r="N44" s="35" t="e">
        <f t="shared" si="17"/>
        <v>#DIV/0!</v>
      </c>
    </row>
    <row r="45" spans="2:14" x14ac:dyDescent="0.3">
      <c r="B45" s="27"/>
      <c r="C45" s="17"/>
      <c r="D45" s="3">
        <v>6127</v>
      </c>
      <c r="E45" s="3" t="s">
        <v>202</v>
      </c>
      <c r="F45" s="35"/>
      <c r="G45" s="35"/>
      <c r="H45" s="35"/>
      <c r="I45" s="35"/>
      <c r="J45" s="35"/>
      <c r="K45" s="35"/>
      <c r="L45" s="35"/>
      <c r="M45" s="35">
        <f t="shared" si="14"/>
        <v>0</v>
      </c>
      <c r="N45" s="35" t="e">
        <f t="shared" si="17"/>
        <v>#DIV/0!</v>
      </c>
    </row>
    <row r="46" spans="2:14" x14ac:dyDescent="0.3">
      <c r="B46" s="27"/>
      <c r="C46" s="17"/>
      <c r="D46" s="3">
        <v>6128</v>
      </c>
      <c r="E46" s="3" t="s">
        <v>203</v>
      </c>
      <c r="F46" s="35"/>
      <c r="G46" s="35"/>
      <c r="H46" s="35"/>
      <c r="I46" s="35"/>
      <c r="J46" s="35"/>
      <c r="K46" s="35"/>
      <c r="L46" s="35"/>
      <c r="M46" s="35">
        <f t="shared" si="14"/>
        <v>0</v>
      </c>
      <c r="N46" s="35" t="e">
        <f t="shared" si="17"/>
        <v>#DIV/0!</v>
      </c>
    </row>
    <row r="47" spans="2:14" s="10" customFormat="1" x14ac:dyDescent="0.3">
      <c r="B47" s="27"/>
      <c r="C47" s="17">
        <v>613</v>
      </c>
      <c r="D47" s="3"/>
      <c r="E47" s="17" t="s">
        <v>204</v>
      </c>
      <c r="F47" s="43">
        <f>SUM(F48:F50)</f>
        <v>0</v>
      </c>
      <c r="G47" s="43">
        <f t="shared" ref="G47:L47" si="18">SUM(G48:G50)</f>
        <v>0</v>
      </c>
      <c r="H47" s="43">
        <f t="shared" si="18"/>
        <v>0</v>
      </c>
      <c r="I47" s="43">
        <f t="shared" si="18"/>
        <v>0</v>
      </c>
      <c r="J47" s="43">
        <f t="shared" si="18"/>
        <v>0</v>
      </c>
      <c r="K47" s="43">
        <f t="shared" si="18"/>
        <v>0</v>
      </c>
      <c r="L47" s="43">
        <f t="shared" si="18"/>
        <v>0</v>
      </c>
      <c r="M47" s="35">
        <f t="shared" si="14"/>
        <v>0</v>
      </c>
      <c r="N47" s="43"/>
    </row>
    <row r="48" spans="2:14" x14ac:dyDescent="0.3">
      <c r="B48" s="27"/>
      <c r="C48" s="17"/>
      <c r="D48" s="3">
        <v>6131</v>
      </c>
      <c r="E48" s="3" t="s">
        <v>205</v>
      </c>
      <c r="F48" s="35"/>
      <c r="G48" s="35"/>
      <c r="H48" s="35"/>
      <c r="I48" s="35"/>
      <c r="J48" s="35"/>
      <c r="K48" s="35"/>
      <c r="L48" s="35"/>
      <c r="M48" s="35">
        <f t="shared" si="14"/>
        <v>0</v>
      </c>
      <c r="N48" s="35" t="e">
        <f t="shared" ref="N48:N50" si="19">K48/I48</f>
        <v>#DIV/0!</v>
      </c>
    </row>
    <row r="49" spans="2:14" x14ac:dyDescent="0.3">
      <c r="B49" s="27"/>
      <c r="C49" s="17"/>
      <c r="D49" s="3">
        <v>6132</v>
      </c>
      <c r="E49" s="3" t="s">
        <v>206</v>
      </c>
      <c r="F49" s="35"/>
      <c r="G49" s="35"/>
      <c r="H49" s="35"/>
      <c r="I49" s="35"/>
      <c r="J49" s="35"/>
      <c r="K49" s="35"/>
      <c r="L49" s="35"/>
      <c r="M49" s="35">
        <f t="shared" si="14"/>
        <v>0</v>
      </c>
      <c r="N49" s="35" t="e">
        <f t="shared" si="19"/>
        <v>#DIV/0!</v>
      </c>
    </row>
    <row r="50" spans="2:14" x14ac:dyDescent="0.3">
      <c r="B50" s="27"/>
      <c r="C50" s="17"/>
      <c r="D50" s="3">
        <v>6138</v>
      </c>
      <c r="E50" s="3" t="s">
        <v>207</v>
      </c>
      <c r="F50" s="35"/>
      <c r="G50" s="35"/>
      <c r="H50" s="35"/>
      <c r="I50" s="35"/>
      <c r="J50" s="35"/>
      <c r="K50" s="35"/>
      <c r="L50" s="35"/>
      <c r="M50" s="35">
        <f t="shared" si="14"/>
        <v>0</v>
      </c>
      <c r="N50" s="35" t="e">
        <f t="shared" si="19"/>
        <v>#DIV/0!</v>
      </c>
    </row>
    <row r="51" spans="2:14" s="10" customFormat="1" x14ac:dyDescent="0.3">
      <c r="B51" s="27"/>
      <c r="C51" s="17">
        <v>616</v>
      </c>
      <c r="D51" s="3"/>
      <c r="E51" s="17" t="s">
        <v>208</v>
      </c>
      <c r="F51" s="43">
        <f>SUM(F52:F55)</f>
        <v>0</v>
      </c>
      <c r="G51" s="43">
        <f t="shared" ref="G51:L51" si="20">SUM(G52:G55)</f>
        <v>0</v>
      </c>
      <c r="H51" s="43">
        <f t="shared" si="20"/>
        <v>0</v>
      </c>
      <c r="I51" s="43">
        <f t="shared" si="20"/>
        <v>0</v>
      </c>
      <c r="J51" s="43">
        <f t="shared" si="20"/>
        <v>0</v>
      </c>
      <c r="K51" s="43">
        <f t="shared" si="20"/>
        <v>0</v>
      </c>
      <c r="L51" s="43">
        <f t="shared" si="20"/>
        <v>0</v>
      </c>
      <c r="M51" s="35">
        <f t="shared" si="14"/>
        <v>0</v>
      </c>
      <c r="N51" s="43"/>
    </row>
    <row r="52" spans="2:14" x14ac:dyDescent="0.3">
      <c r="B52" s="27"/>
      <c r="C52" s="17"/>
      <c r="D52" s="3">
        <v>6161</v>
      </c>
      <c r="E52" s="3" t="s">
        <v>209</v>
      </c>
      <c r="F52" s="35"/>
      <c r="G52" s="35"/>
      <c r="H52" s="35"/>
      <c r="I52" s="35"/>
      <c r="J52" s="35"/>
      <c r="K52" s="35"/>
      <c r="L52" s="35"/>
      <c r="M52" s="35">
        <f t="shared" si="14"/>
        <v>0</v>
      </c>
      <c r="N52" s="35" t="e">
        <f t="shared" ref="N52:N55" si="21">K52/I52</f>
        <v>#DIV/0!</v>
      </c>
    </row>
    <row r="53" spans="2:14" x14ac:dyDescent="0.3">
      <c r="B53" s="27"/>
      <c r="C53" s="17"/>
      <c r="D53" s="3">
        <v>6162</v>
      </c>
      <c r="E53" s="3" t="s">
        <v>210</v>
      </c>
      <c r="F53" s="35"/>
      <c r="G53" s="35"/>
      <c r="H53" s="35"/>
      <c r="I53" s="35"/>
      <c r="J53" s="35"/>
      <c r="K53" s="35"/>
      <c r="L53" s="35"/>
      <c r="M53" s="35">
        <f t="shared" si="14"/>
        <v>0</v>
      </c>
      <c r="N53" s="35" t="e">
        <f t="shared" si="21"/>
        <v>#DIV/0!</v>
      </c>
    </row>
    <row r="54" spans="2:14" x14ac:dyDescent="0.3">
      <c r="B54" s="27"/>
      <c r="C54" s="17"/>
      <c r="D54" s="3">
        <v>6163</v>
      </c>
      <c r="E54" s="3" t="s">
        <v>211</v>
      </c>
      <c r="F54" s="35"/>
      <c r="G54" s="35"/>
      <c r="H54" s="35"/>
      <c r="I54" s="35"/>
      <c r="J54" s="35"/>
      <c r="K54" s="35"/>
      <c r="L54" s="35"/>
      <c r="M54" s="35">
        <f t="shared" si="14"/>
        <v>0</v>
      </c>
      <c r="N54" s="35" t="e">
        <f t="shared" si="21"/>
        <v>#DIV/0!</v>
      </c>
    </row>
    <row r="55" spans="2:14" x14ac:dyDescent="0.3">
      <c r="B55" s="27"/>
      <c r="C55" s="17"/>
      <c r="D55" s="3">
        <v>6168</v>
      </c>
      <c r="E55" s="3" t="s">
        <v>212</v>
      </c>
      <c r="F55" s="35"/>
      <c r="G55" s="35"/>
      <c r="H55" s="35"/>
      <c r="I55" s="35"/>
      <c r="J55" s="35"/>
      <c r="K55" s="35"/>
      <c r="L55" s="35"/>
      <c r="M55" s="35">
        <f t="shared" si="14"/>
        <v>0</v>
      </c>
      <c r="N55" s="35" t="e">
        <f t="shared" si="21"/>
        <v>#DIV/0!</v>
      </c>
    </row>
    <row r="56" spans="2:14" s="10" customFormat="1" x14ac:dyDescent="0.3">
      <c r="B56" s="27"/>
      <c r="C56" s="17">
        <v>618</v>
      </c>
      <c r="D56" s="3"/>
      <c r="E56" s="17" t="s">
        <v>213</v>
      </c>
      <c r="F56" s="43">
        <f>SUM(F57:F59)</f>
        <v>0</v>
      </c>
      <c r="G56" s="43">
        <f t="shared" ref="G56:L56" si="22">SUM(G57:G59)</f>
        <v>0</v>
      </c>
      <c r="H56" s="43">
        <f t="shared" si="22"/>
        <v>0</v>
      </c>
      <c r="I56" s="43">
        <f t="shared" si="22"/>
        <v>0</v>
      </c>
      <c r="J56" s="43">
        <f t="shared" si="22"/>
        <v>0</v>
      </c>
      <c r="K56" s="43">
        <f t="shared" si="22"/>
        <v>0</v>
      </c>
      <c r="L56" s="43">
        <f t="shared" si="22"/>
        <v>0</v>
      </c>
      <c r="M56" s="35">
        <f t="shared" si="14"/>
        <v>0</v>
      </c>
      <c r="N56" s="43"/>
    </row>
    <row r="57" spans="2:14" x14ac:dyDescent="0.3">
      <c r="B57" s="27"/>
      <c r="C57" s="17"/>
      <c r="D57" s="3">
        <v>6181</v>
      </c>
      <c r="E57" s="3" t="s">
        <v>214</v>
      </c>
      <c r="F57" s="35"/>
      <c r="G57" s="35"/>
      <c r="H57" s="35"/>
      <c r="I57" s="35"/>
      <c r="J57" s="35"/>
      <c r="K57" s="35"/>
      <c r="L57" s="35"/>
      <c r="M57" s="35">
        <f t="shared" si="14"/>
        <v>0</v>
      </c>
      <c r="N57" s="35" t="e">
        <f t="shared" ref="N57:N59" si="23">K57/I57</f>
        <v>#DIV/0!</v>
      </c>
    </row>
    <row r="58" spans="2:14" x14ac:dyDescent="0.3">
      <c r="B58" s="27"/>
      <c r="C58" s="17"/>
      <c r="D58" s="3">
        <v>6182</v>
      </c>
      <c r="E58" s="3" t="s">
        <v>215</v>
      </c>
      <c r="F58" s="35"/>
      <c r="G58" s="35"/>
      <c r="H58" s="35"/>
      <c r="I58" s="35"/>
      <c r="J58" s="35"/>
      <c r="K58" s="35"/>
      <c r="L58" s="35"/>
      <c r="M58" s="35">
        <f t="shared" si="14"/>
        <v>0</v>
      </c>
      <c r="N58" s="35" t="e">
        <f t="shared" si="23"/>
        <v>#DIV/0!</v>
      </c>
    </row>
    <row r="59" spans="2:14" x14ac:dyDescent="0.3">
      <c r="B59" s="27"/>
      <c r="C59" s="17"/>
      <c r="D59" s="3">
        <v>6183</v>
      </c>
      <c r="E59" s="3" t="s">
        <v>216</v>
      </c>
      <c r="F59" s="35"/>
      <c r="G59" s="35"/>
      <c r="H59" s="35"/>
      <c r="I59" s="35"/>
      <c r="J59" s="35"/>
      <c r="K59" s="35"/>
      <c r="L59" s="35"/>
      <c r="M59" s="35">
        <f t="shared" si="14"/>
        <v>0</v>
      </c>
      <c r="N59" s="35" t="e">
        <f t="shared" si="23"/>
        <v>#DIV/0!</v>
      </c>
    </row>
    <row r="60" spans="2:14" s="10" customFormat="1" ht="30" customHeight="1" x14ac:dyDescent="0.3">
      <c r="B60" s="27">
        <v>62</v>
      </c>
      <c r="C60" s="17"/>
      <c r="D60" s="17"/>
      <c r="E60" s="17" t="s">
        <v>155</v>
      </c>
      <c r="F60" s="43">
        <f>SUM(F61,F70,F77,F83,F87,F89,F96,F103)</f>
        <v>0</v>
      </c>
      <c r="G60" s="43">
        <f t="shared" ref="G60:M60" si="24">SUM(G61,G70,G77,G83,G87,G89,G96,G103)</f>
        <v>0</v>
      </c>
      <c r="H60" s="43">
        <f t="shared" si="24"/>
        <v>0</v>
      </c>
      <c r="I60" s="43">
        <f t="shared" si="24"/>
        <v>0</v>
      </c>
      <c r="J60" s="43">
        <f t="shared" si="24"/>
        <v>0</v>
      </c>
      <c r="K60" s="43">
        <f t="shared" si="24"/>
        <v>0</v>
      </c>
      <c r="L60" s="43">
        <f t="shared" si="24"/>
        <v>0</v>
      </c>
      <c r="M60" s="43">
        <f t="shared" si="24"/>
        <v>0</v>
      </c>
      <c r="N60" s="43" t="e">
        <f>K60/I60</f>
        <v>#DIV/0!</v>
      </c>
    </row>
    <row r="61" spans="2:14" s="10" customFormat="1" x14ac:dyDescent="0.3">
      <c r="B61" s="27"/>
      <c r="C61" s="17">
        <v>621</v>
      </c>
      <c r="D61" s="3"/>
      <c r="E61" s="17" t="s">
        <v>217</v>
      </c>
      <c r="F61" s="43">
        <f>SUM(F62:F69)</f>
        <v>0</v>
      </c>
      <c r="G61" s="43">
        <f t="shared" ref="G61:L61" si="25">SUM(G62:G69)</f>
        <v>0</v>
      </c>
      <c r="H61" s="43">
        <f t="shared" si="25"/>
        <v>0</v>
      </c>
      <c r="I61" s="43">
        <f t="shared" si="25"/>
        <v>0</v>
      </c>
      <c r="J61" s="43">
        <f t="shared" si="25"/>
        <v>0</v>
      </c>
      <c r="K61" s="43">
        <f t="shared" si="25"/>
        <v>0</v>
      </c>
      <c r="L61" s="43">
        <f t="shared" si="25"/>
        <v>0</v>
      </c>
      <c r="M61" s="35">
        <f t="shared" ref="M61:M87" si="26">K61-L61</f>
        <v>0</v>
      </c>
      <c r="N61" s="43"/>
    </row>
    <row r="62" spans="2:14" x14ac:dyDescent="0.3">
      <c r="B62" s="27"/>
      <c r="C62" s="17"/>
      <c r="D62" s="3">
        <v>6211</v>
      </c>
      <c r="E62" s="3" t="s">
        <v>218</v>
      </c>
      <c r="F62" s="35"/>
      <c r="G62" s="35"/>
      <c r="H62" s="35"/>
      <c r="I62" s="35"/>
      <c r="J62" s="35"/>
      <c r="K62" s="35"/>
      <c r="L62" s="35"/>
      <c r="M62" s="35">
        <f t="shared" si="26"/>
        <v>0</v>
      </c>
      <c r="N62" s="35" t="e">
        <f t="shared" ref="N62:N69" si="27">K62/I62</f>
        <v>#DIV/0!</v>
      </c>
    </row>
    <row r="63" spans="2:14" x14ac:dyDescent="0.3">
      <c r="B63" s="27"/>
      <c r="C63" s="17"/>
      <c r="D63" s="3">
        <v>6212</v>
      </c>
      <c r="E63" s="3" t="s">
        <v>219</v>
      </c>
      <c r="F63" s="35"/>
      <c r="G63" s="35"/>
      <c r="H63" s="35"/>
      <c r="I63" s="35"/>
      <c r="J63" s="35"/>
      <c r="K63" s="35"/>
      <c r="L63" s="35"/>
      <c r="M63" s="35">
        <f t="shared" si="26"/>
        <v>0</v>
      </c>
      <c r="N63" s="35" t="e">
        <f t="shared" si="27"/>
        <v>#DIV/0!</v>
      </c>
    </row>
    <row r="64" spans="2:14" x14ac:dyDescent="0.3">
      <c r="B64" s="27"/>
      <c r="C64" s="17"/>
      <c r="D64" s="3">
        <v>6213</v>
      </c>
      <c r="E64" s="3" t="s">
        <v>220</v>
      </c>
      <c r="F64" s="35"/>
      <c r="G64" s="35"/>
      <c r="H64" s="35"/>
      <c r="I64" s="35"/>
      <c r="J64" s="35"/>
      <c r="K64" s="35"/>
      <c r="L64" s="35"/>
      <c r="M64" s="35">
        <f t="shared" si="26"/>
        <v>0</v>
      </c>
      <c r="N64" s="35" t="e">
        <f t="shared" si="27"/>
        <v>#DIV/0!</v>
      </c>
    </row>
    <row r="65" spans="2:14" x14ac:dyDescent="0.3">
      <c r="B65" s="27"/>
      <c r="C65" s="17"/>
      <c r="D65" s="3">
        <v>6214</v>
      </c>
      <c r="E65" s="3" t="s">
        <v>221</v>
      </c>
      <c r="F65" s="35"/>
      <c r="G65" s="35"/>
      <c r="H65" s="35"/>
      <c r="I65" s="35"/>
      <c r="J65" s="35"/>
      <c r="K65" s="35"/>
      <c r="L65" s="35"/>
      <c r="M65" s="35">
        <f t="shared" si="26"/>
        <v>0</v>
      </c>
      <c r="N65" s="35" t="e">
        <f t="shared" si="27"/>
        <v>#DIV/0!</v>
      </c>
    </row>
    <row r="66" spans="2:14" x14ac:dyDescent="0.3">
      <c r="B66" s="27"/>
      <c r="C66" s="17"/>
      <c r="D66" s="3">
        <v>6215</v>
      </c>
      <c r="E66" s="3" t="s">
        <v>222</v>
      </c>
      <c r="F66" s="35"/>
      <c r="G66" s="35"/>
      <c r="H66" s="35"/>
      <c r="I66" s="35"/>
      <c r="J66" s="35"/>
      <c r="K66" s="35"/>
      <c r="L66" s="35"/>
      <c r="M66" s="35">
        <f t="shared" si="26"/>
        <v>0</v>
      </c>
      <c r="N66" s="35" t="e">
        <f t="shared" si="27"/>
        <v>#DIV/0!</v>
      </c>
    </row>
    <row r="67" spans="2:14" x14ac:dyDescent="0.3">
      <c r="B67" s="27"/>
      <c r="C67" s="17"/>
      <c r="D67" s="3">
        <v>6216</v>
      </c>
      <c r="E67" s="3" t="s">
        <v>223</v>
      </c>
      <c r="F67" s="35"/>
      <c r="G67" s="35"/>
      <c r="H67" s="35"/>
      <c r="I67" s="35"/>
      <c r="J67" s="35"/>
      <c r="K67" s="35"/>
      <c r="L67" s="35"/>
      <c r="M67" s="35">
        <f t="shared" si="26"/>
        <v>0</v>
      </c>
      <c r="N67" s="35" t="e">
        <f t="shared" si="27"/>
        <v>#DIV/0!</v>
      </c>
    </row>
    <row r="68" spans="2:14" x14ac:dyDescent="0.3">
      <c r="B68" s="27"/>
      <c r="C68" s="17"/>
      <c r="D68" s="3">
        <v>6217</v>
      </c>
      <c r="E68" s="3" t="s">
        <v>224</v>
      </c>
      <c r="F68" s="35"/>
      <c r="G68" s="35"/>
      <c r="H68" s="35"/>
      <c r="I68" s="35"/>
      <c r="J68" s="35"/>
      <c r="K68" s="35"/>
      <c r="L68" s="35"/>
      <c r="M68" s="35">
        <f t="shared" si="26"/>
        <v>0</v>
      </c>
      <c r="N68" s="35" t="e">
        <f t="shared" si="27"/>
        <v>#DIV/0!</v>
      </c>
    </row>
    <row r="69" spans="2:14" x14ac:dyDescent="0.3">
      <c r="B69" s="27"/>
      <c r="C69" s="17"/>
      <c r="D69" s="3">
        <v>6218</v>
      </c>
      <c r="E69" s="3" t="s">
        <v>225</v>
      </c>
      <c r="F69" s="35"/>
      <c r="G69" s="35"/>
      <c r="H69" s="35"/>
      <c r="I69" s="35"/>
      <c r="J69" s="35"/>
      <c r="K69" s="35"/>
      <c r="L69" s="35"/>
      <c r="M69" s="35">
        <f t="shared" si="26"/>
        <v>0</v>
      </c>
      <c r="N69" s="35" t="e">
        <f t="shared" si="27"/>
        <v>#DIV/0!</v>
      </c>
    </row>
    <row r="70" spans="2:14" s="10" customFormat="1" x14ac:dyDescent="0.3">
      <c r="B70" s="27"/>
      <c r="C70" s="17">
        <v>622</v>
      </c>
      <c r="D70" s="3"/>
      <c r="E70" s="17" t="s">
        <v>226</v>
      </c>
      <c r="F70" s="43">
        <f>SUM(F71:F76)</f>
        <v>0</v>
      </c>
      <c r="G70" s="43">
        <f t="shared" ref="G70:L70" si="28">SUM(G71:G76)</f>
        <v>0</v>
      </c>
      <c r="H70" s="43">
        <f t="shared" si="28"/>
        <v>0</v>
      </c>
      <c r="I70" s="43">
        <f t="shared" si="28"/>
        <v>0</v>
      </c>
      <c r="J70" s="43">
        <f t="shared" si="28"/>
        <v>0</v>
      </c>
      <c r="K70" s="43">
        <f t="shared" si="28"/>
        <v>0</v>
      </c>
      <c r="L70" s="43">
        <f t="shared" si="28"/>
        <v>0</v>
      </c>
      <c r="M70" s="35">
        <f t="shared" si="26"/>
        <v>0</v>
      </c>
      <c r="N70" s="43"/>
    </row>
    <row r="71" spans="2:14" x14ac:dyDescent="0.3">
      <c r="B71" s="27"/>
      <c r="C71" s="17"/>
      <c r="D71" s="3">
        <v>6221</v>
      </c>
      <c r="E71" s="3" t="s">
        <v>227</v>
      </c>
      <c r="F71" s="35"/>
      <c r="G71" s="35"/>
      <c r="H71" s="35"/>
      <c r="I71" s="35"/>
      <c r="J71" s="35"/>
      <c r="K71" s="35"/>
      <c r="L71" s="35"/>
      <c r="M71" s="35">
        <f t="shared" si="26"/>
        <v>0</v>
      </c>
      <c r="N71" s="35" t="e">
        <f t="shared" ref="N71:N76" si="29">K71/I71</f>
        <v>#DIV/0!</v>
      </c>
    </row>
    <row r="72" spans="2:14" x14ac:dyDescent="0.3">
      <c r="B72" s="27"/>
      <c r="C72" s="17"/>
      <c r="D72" s="3">
        <v>6222</v>
      </c>
      <c r="E72" s="3" t="s">
        <v>228</v>
      </c>
      <c r="F72" s="35"/>
      <c r="G72" s="35"/>
      <c r="H72" s="35"/>
      <c r="I72" s="35"/>
      <c r="J72" s="35"/>
      <c r="K72" s="35"/>
      <c r="L72" s="35"/>
      <c r="M72" s="35">
        <f t="shared" si="26"/>
        <v>0</v>
      </c>
      <c r="N72" s="35" t="e">
        <f t="shared" si="29"/>
        <v>#DIV/0!</v>
      </c>
    </row>
    <row r="73" spans="2:14" x14ac:dyDescent="0.3">
      <c r="B73" s="27"/>
      <c r="C73" s="17"/>
      <c r="D73" s="3">
        <v>6223</v>
      </c>
      <c r="E73" s="3" t="s">
        <v>229</v>
      </c>
      <c r="F73" s="35"/>
      <c r="G73" s="35"/>
      <c r="H73" s="35"/>
      <c r="I73" s="35"/>
      <c r="J73" s="35"/>
      <c r="K73" s="35"/>
      <c r="L73" s="35"/>
      <c r="M73" s="35">
        <f t="shared" si="26"/>
        <v>0</v>
      </c>
      <c r="N73" s="35" t="e">
        <f t="shared" si="29"/>
        <v>#DIV/0!</v>
      </c>
    </row>
    <row r="74" spans="2:14" x14ac:dyDescent="0.3">
      <c r="B74" s="27"/>
      <c r="C74" s="17"/>
      <c r="D74" s="3">
        <v>6224</v>
      </c>
      <c r="E74" s="3" t="s">
        <v>230</v>
      </c>
      <c r="F74" s="35"/>
      <c r="G74" s="35"/>
      <c r="H74" s="35"/>
      <c r="I74" s="35"/>
      <c r="J74" s="35"/>
      <c r="K74" s="35"/>
      <c r="L74" s="35"/>
      <c r="M74" s="35">
        <f t="shared" si="26"/>
        <v>0</v>
      </c>
      <c r="N74" s="35" t="e">
        <f t="shared" si="29"/>
        <v>#DIV/0!</v>
      </c>
    </row>
    <row r="75" spans="2:14" x14ac:dyDescent="0.3">
      <c r="B75" s="27"/>
      <c r="C75" s="17"/>
      <c r="D75" s="3">
        <v>6225</v>
      </c>
      <c r="E75" s="3" t="s">
        <v>231</v>
      </c>
      <c r="F75" s="35"/>
      <c r="G75" s="35"/>
      <c r="H75" s="35"/>
      <c r="I75" s="35"/>
      <c r="J75" s="35"/>
      <c r="K75" s="35"/>
      <c r="L75" s="35"/>
      <c r="M75" s="35">
        <f t="shared" si="26"/>
        <v>0</v>
      </c>
      <c r="N75" s="35" t="e">
        <f t="shared" si="29"/>
        <v>#DIV/0!</v>
      </c>
    </row>
    <row r="76" spans="2:14" x14ac:dyDescent="0.3">
      <c r="B76" s="27"/>
      <c r="C76" s="17"/>
      <c r="D76" s="3">
        <v>6226</v>
      </c>
      <c r="E76" s="3" t="s">
        <v>232</v>
      </c>
      <c r="F76" s="35"/>
      <c r="G76" s="35"/>
      <c r="H76" s="35"/>
      <c r="I76" s="35"/>
      <c r="J76" s="35"/>
      <c r="K76" s="35"/>
      <c r="L76" s="35"/>
      <c r="M76" s="35">
        <f t="shared" si="26"/>
        <v>0</v>
      </c>
      <c r="N76" s="35" t="e">
        <f t="shared" si="29"/>
        <v>#DIV/0!</v>
      </c>
    </row>
    <row r="77" spans="2:14" s="10" customFormat="1" x14ac:dyDescent="0.3">
      <c r="B77" s="27"/>
      <c r="C77" s="17">
        <v>623</v>
      </c>
      <c r="D77" s="3"/>
      <c r="E77" s="17" t="s">
        <v>233</v>
      </c>
      <c r="F77" s="43">
        <f>SUM(F78:F82)</f>
        <v>0</v>
      </c>
      <c r="G77" s="43">
        <f t="shared" ref="G77:L77" si="30">SUM(G78:G82)</f>
        <v>0</v>
      </c>
      <c r="H77" s="43">
        <f t="shared" si="30"/>
        <v>0</v>
      </c>
      <c r="I77" s="43">
        <f t="shared" si="30"/>
        <v>0</v>
      </c>
      <c r="J77" s="43">
        <f t="shared" si="30"/>
        <v>0</v>
      </c>
      <c r="K77" s="43">
        <f t="shared" si="30"/>
        <v>0</v>
      </c>
      <c r="L77" s="43">
        <f t="shared" si="30"/>
        <v>0</v>
      </c>
      <c r="M77" s="35">
        <f t="shared" si="26"/>
        <v>0</v>
      </c>
      <c r="N77" s="43"/>
    </row>
    <row r="78" spans="2:14" x14ac:dyDescent="0.3">
      <c r="B78" s="27"/>
      <c r="C78" s="17"/>
      <c r="D78" s="3">
        <v>6231</v>
      </c>
      <c r="E78" s="3" t="s">
        <v>234</v>
      </c>
      <c r="F78" s="35"/>
      <c r="G78" s="35"/>
      <c r="H78" s="35"/>
      <c r="I78" s="35"/>
      <c r="J78" s="35"/>
      <c r="K78" s="35"/>
      <c r="L78" s="35"/>
      <c r="M78" s="35">
        <f t="shared" si="26"/>
        <v>0</v>
      </c>
      <c r="N78" s="35" t="e">
        <f t="shared" ref="N78:N82" si="31">K78/I78</f>
        <v>#DIV/0!</v>
      </c>
    </row>
    <row r="79" spans="2:14" x14ac:dyDescent="0.3">
      <c r="B79" s="27"/>
      <c r="C79" s="17"/>
      <c r="D79" s="3">
        <v>6232</v>
      </c>
      <c r="E79" s="3" t="s">
        <v>235</v>
      </c>
      <c r="F79" s="35"/>
      <c r="G79" s="35"/>
      <c r="H79" s="35"/>
      <c r="I79" s="35"/>
      <c r="J79" s="35"/>
      <c r="K79" s="35"/>
      <c r="L79" s="35"/>
      <c r="M79" s="35">
        <f t="shared" si="26"/>
        <v>0</v>
      </c>
      <c r="N79" s="35" t="e">
        <f t="shared" si="31"/>
        <v>#DIV/0!</v>
      </c>
    </row>
    <row r="80" spans="2:14" x14ac:dyDescent="0.3">
      <c r="B80" s="27"/>
      <c r="C80" s="17"/>
      <c r="D80" s="3">
        <v>6233</v>
      </c>
      <c r="E80" s="3" t="s">
        <v>236</v>
      </c>
      <c r="F80" s="35"/>
      <c r="G80" s="35"/>
      <c r="H80" s="35"/>
      <c r="I80" s="35"/>
      <c r="J80" s="35"/>
      <c r="K80" s="35"/>
      <c r="L80" s="35"/>
      <c r="M80" s="35">
        <f t="shared" si="26"/>
        <v>0</v>
      </c>
      <c r="N80" s="35" t="e">
        <f t="shared" si="31"/>
        <v>#DIV/0!</v>
      </c>
    </row>
    <row r="81" spans="2:14" x14ac:dyDescent="0.3">
      <c r="B81" s="27"/>
      <c r="C81" s="17"/>
      <c r="D81" s="3">
        <v>6234</v>
      </c>
      <c r="E81" s="3" t="s">
        <v>237</v>
      </c>
      <c r="F81" s="35"/>
      <c r="G81" s="35"/>
      <c r="H81" s="35"/>
      <c r="I81" s="35"/>
      <c r="J81" s="35"/>
      <c r="K81" s="35"/>
      <c r="L81" s="35"/>
      <c r="M81" s="35">
        <f t="shared" si="26"/>
        <v>0</v>
      </c>
      <c r="N81" s="35" t="e">
        <f t="shared" si="31"/>
        <v>#DIV/0!</v>
      </c>
    </row>
    <row r="82" spans="2:14" x14ac:dyDescent="0.3">
      <c r="B82" s="27"/>
      <c r="C82" s="17"/>
      <c r="D82" s="3">
        <v>6235</v>
      </c>
      <c r="E82" s="3" t="s">
        <v>238</v>
      </c>
      <c r="F82" s="35"/>
      <c r="G82" s="35"/>
      <c r="H82" s="35"/>
      <c r="I82" s="35"/>
      <c r="J82" s="35"/>
      <c r="K82" s="35"/>
      <c r="L82" s="35"/>
      <c r="M82" s="35">
        <f t="shared" si="26"/>
        <v>0</v>
      </c>
      <c r="N82" s="35" t="e">
        <f t="shared" si="31"/>
        <v>#DIV/0!</v>
      </c>
    </row>
    <row r="83" spans="2:14" s="10" customFormat="1" x14ac:dyDescent="0.3">
      <c r="B83" s="27"/>
      <c r="C83" s="17">
        <v>624</v>
      </c>
      <c r="D83" s="3"/>
      <c r="E83" s="17" t="s">
        <v>239</v>
      </c>
      <c r="F83" s="43">
        <f>SUM(F84:F86)</f>
        <v>0</v>
      </c>
      <c r="G83" s="43">
        <f t="shared" ref="G83:L83" si="32">SUM(G84:G86)</f>
        <v>0</v>
      </c>
      <c r="H83" s="43">
        <f t="shared" si="32"/>
        <v>0</v>
      </c>
      <c r="I83" s="43">
        <f t="shared" si="32"/>
        <v>0</v>
      </c>
      <c r="J83" s="43">
        <f t="shared" si="32"/>
        <v>0</v>
      </c>
      <c r="K83" s="43">
        <f t="shared" si="32"/>
        <v>0</v>
      </c>
      <c r="L83" s="43">
        <f t="shared" si="32"/>
        <v>0</v>
      </c>
      <c r="M83" s="35">
        <f t="shared" si="26"/>
        <v>0</v>
      </c>
      <c r="N83" s="43"/>
    </row>
    <row r="84" spans="2:14" x14ac:dyDescent="0.3">
      <c r="B84" s="27"/>
      <c r="C84" s="17"/>
      <c r="D84" s="3">
        <v>6241</v>
      </c>
      <c r="E84" s="3" t="s">
        <v>240</v>
      </c>
      <c r="F84" s="35"/>
      <c r="G84" s="35"/>
      <c r="H84" s="35"/>
      <c r="I84" s="35"/>
      <c r="J84" s="35"/>
      <c r="K84" s="35"/>
      <c r="L84" s="35"/>
      <c r="M84" s="35">
        <f t="shared" si="26"/>
        <v>0</v>
      </c>
      <c r="N84" s="35" t="e">
        <f t="shared" ref="N84:N86" si="33">K84/I84</f>
        <v>#DIV/0!</v>
      </c>
    </row>
    <row r="85" spans="2:14" x14ac:dyDescent="0.3">
      <c r="B85" s="27"/>
      <c r="C85" s="17"/>
      <c r="D85" s="3">
        <v>6242</v>
      </c>
      <c r="E85" s="3" t="s">
        <v>241</v>
      </c>
      <c r="F85" s="35"/>
      <c r="G85" s="35"/>
      <c r="H85" s="35"/>
      <c r="I85" s="35"/>
      <c r="J85" s="35"/>
      <c r="K85" s="35"/>
      <c r="L85" s="35"/>
      <c r="M85" s="35">
        <f t="shared" si="26"/>
        <v>0</v>
      </c>
      <c r="N85" s="35" t="e">
        <f t="shared" si="33"/>
        <v>#DIV/0!</v>
      </c>
    </row>
    <row r="86" spans="2:14" x14ac:dyDescent="0.3">
      <c r="B86" s="27"/>
      <c r="C86" s="17"/>
      <c r="D86" s="3">
        <v>6243</v>
      </c>
      <c r="E86" s="3" t="s">
        <v>242</v>
      </c>
      <c r="F86" s="35"/>
      <c r="G86" s="35"/>
      <c r="H86" s="35"/>
      <c r="I86" s="35"/>
      <c r="J86" s="35"/>
      <c r="K86" s="35"/>
      <c r="L86" s="35"/>
      <c r="M86" s="35">
        <f t="shared" si="26"/>
        <v>0</v>
      </c>
      <c r="N86" s="35" t="e">
        <f t="shared" si="33"/>
        <v>#DIV/0!</v>
      </c>
    </row>
    <row r="87" spans="2:14" s="10" customFormat="1" x14ac:dyDescent="0.3">
      <c r="B87" s="27"/>
      <c r="C87" s="27">
        <v>625</v>
      </c>
      <c r="D87" s="3"/>
      <c r="E87" s="17" t="s">
        <v>244</v>
      </c>
      <c r="F87" s="43">
        <f>SUM(F88)</f>
        <v>0</v>
      </c>
      <c r="G87" s="43">
        <f t="shared" ref="G87:L87" si="34">SUM(G88)</f>
        <v>0</v>
      </c>
      <c r="H87" s="43">
        <f t="shared" si="34"/>
        <v>0</v>
      </c>
      <c r="I87" s="43">
        <f t="shared" si="34"/>
        <v>0</v>
      </c>
      <c r="J87" s="43">
        <f t="shared" si="34"/>
        <v>0</v>
      </c>
      <c r="K87" s="43">
        <f t="shared" si="34"/>
        <v>0</v>
      </c>
      <c r="L87" s="43">
        <f t="shared" si="34"/>
        <v>0</v>
      </c>
      <c r="M87" s="35">
        <f t="shared" si="26"/>
        <v>0</v>
      </c>
      <c r="N87" s="43"/>
    </row>
    <row r="88" spans="2:14" x14ac:dyDescent="0.3">
      <c r="B88" s="27"/>
      <c r="C88" s="17"/>
      <c r="D88" s="3">
        <v>6250</v>
      </c>
      <c r="E88" s="3" t="s">
        <v>243</v>
      </c>
      <c r="F88" s="35"/>
      <c r="G88" s="35"/>
      <c r="H88" s="35"/>
      <c r="I88" s="35"/>
      <c r="J88" s="35"/>
      <c r="K88" s="35"/>
      <c r="L88" s="35"/>
      <c r="M88" s="35">
        <f>K88-L88</f>
        <v>0</v>
      </c>
      <c r="N88" s="35" t="e">
        <f t="shared" ref="N88" si="35">K88/I88</f>
        <v>#DIV/0!</v>
      </c>
    </row>
    <row r="89" spans="2:14" s="10" customFormat="1" x14ac:dyDescent="0.3">
      <c r="B89" s="27"/>
      <c r="C89" s="27">
        <v>626</v>
      </c>
      <c r="D89" s="3"/>
      <c r="E89" s="17" t="s">
        <v>245</v>
      </c>
      <c r="F89" s="43">
        <f>SUM(F90:F95)</f>
        <v>0</v>
      </c>
      <c r="G89" s="43">
        <f t="shared" ref="G89:L89" si="36">SUM(G90:G95)</f>
        <v>0</v>
      </c>
      <c r="H89" s="43">
        <f t="shared" si="36"/>
        <v>0</v>
      </c>
      <c r="I89" s="43">
        <f t="shared" si="36"/>
        <v>0</v>
      </c>
      <c r="J89" s="43">
        <f t="shared" si="36"/>
        <v>0</v>
      </c>
      <c r="K89" s="43">
        <f t="shared" si="36"/>
        <v>0</v>
      </c>
      <c r="L89" s="43">
        <f t="shared" si="36"/>
        <v>0</v>
      </c>
      <c r="M89" s="35">
        <f t="shared" ref="M89:M111" si="37">K89-L89</f>
        <v>0</v>
      </c>
      <c r="N89" s="43"/>
    </row>
    <row r="90" spans="2:14" x14ac:dyDescent="0.3">
      <c r="B90" s="27"/>
      <c r="C90" s="17"/>
      <c r="D90" s="3">
        <v>6261</v>
      </c>
      <c r="E90" s="3" t="s">
        <v>246</v>
      </c>
      <c r="F90" s="35"/>
      <c r="G90" s="35"/>
      <c r="H90" s="35"/>
      <c r="I90" s="35"/>
      <c r="J90" s="35"/>
      <c r="K90" s="35"/>
      <c r="L90" s="35"/>
      <c r="M90" s="35">
        <f t="shared" si="37"/>
        <v>0</v>
      </c>
      <c r="N90" s="35" t="e">
        <f t="shared" ref="N90:N95" si="38">K90/I90</f>
        <v>#DIV/0!</v>
      </c>
    </row>
    <row r="91" spans="2:14" x14ac:dyDescent="0.3">
      <c r="B91" s="27"/>
      <c r="C91" s="17"/>
      <c r="D91" s="3">
        <v>6262</v>
      </c>
      <c r="E91" s="3" t="s">
        <v>247</v>
      </c>
      <c r="F91" s="35"/>
      <c r="G91" s="35"/>
      <c r="H91" s="35"/>
      <c r="I91" s="35"/>
      <c r="J91" s="35"/>
      <c r="K91" s="35"/>
      <c r="L91" s="35"/>
      <c r="M91" s="35">
        <f t="shared" si="37"/>
        <v>0</v>
      </c>
      <c r="N91" s="35" t="e">
        <f t="shared" si="38"/>
        <v>#DIV/0!</v>
      </c>
    </row>
    <row r="92" spans="2:14" x14ac:dyDescent="0.3">
      <c r="B92" s="27"/>
      <c r="C92" s="17"/>
      <c r="D92" s="3">
        <v>6263</v>
      </c>
      <c r="E92" s="3" t="s">
        <v>248</v>
      </c>
      <c r="F92" s="35"/>
      <c r="G92" s="35"/>
      <c r="H92" s="35"/>
      <c r="I92" s="35"/>
      <c r="J92" s="35"/>
      <c r="K92" s="35"/>
      <c r="L92" s="35"/>
      <c r="M92" s="35">
        <f t="shared" si="37"/>
        <v>0</v>
      </c>
      <c r="N92" s="35" t="e">
        <f t="shared" si="38"/>
        <v>#DIV/0!</v>
      </c>
    </row>
    <row r="93" spans="2:14" x14ac:dyDescent="0.3">
      <c r="B93" s="27"/>
      <c r="C93" s="17"/>
      <c r="D93" s="3">
        <v>6264</v>
      </c>
      <c r="E93" s="3" t="s">
        <v>249</v>
      </c>
      <c r="F93" s="35"/>
      <c r="G93" s="35"/>
      <c r="H93" s="35"/>
      <c r="I93" s="35"/>
      <c r="J93" s="35"/>
      <c r="K93" s="35"/>
      <c r="L93" s="35"/>
      <c r="M93" s="35">
        <f t="shared" si="37"/>
        <v>0</v>
      </c>
      <c r="N93" s="35" t="e">
        <f t="shared" si="38"/>
        <v>#DIV/0!</v>
      </c>
    </row>
    <row r="94" spans="2:14" x14ac:dyDescent="0.3">
      <c r="B94" s="27"/>
      <c r="C94" s="17"/>
      <c r="D94" s="3">
        <v>6265</v>
      </c>
      <c r="E94" s="3" t="s">
        <v>250</v>
      </c>
      <c r="F94" s="35"/>
      <c r="G94" s="35"/>
      <c r="H94" s="35"/>
      <c r="I94" s="35"/>
      <c r="J94" s="35"/>
      <c r="K94" s="35"/>
      <c r="L94" s="35"/>
      <c r="M94" s="35">
        <f t="shared" si="37"/>
        <v>0</v>
      </c>
      <c r="N94" s="35" t="e">
        <f t="shared" si="38"/>
        <v>#DIV/0!</v>
      </c>
    </row>
    <row r="95" spans="2:14" x14ac:dyDescent="0.3">
      <c r="B95" s="27"/>
      <c r="C95" s="17"/>
      <c r="D95" s="3">
        <v>6268</v>
      </c>
      <c r="E95" s="3" t="s">
        <v>95</v>
      </c>
      <c r="F95" s="35"/>
      <c r="G95" s="35"/>
      <c r="H95" s="35"/>
      <c r="I95" s="35"/>
      <c r="J95" s="35"/>
      <c r="K95" s="35"/>
      <c r="L95" s="35"/>
      <c r="M95" s="35">
        <f t="shared" si="37"/>
        <v>0</v>
      </c>
      <c r="N95" s="35" t="e">
        <f t="shared" si="38"/>
        <v>#DIV/0!</v>
      </c>
    </row>
    <row r="96" spans="2:14" s="10" customFormat="1" x14ac:dyDescent="0.3">
      <c r="B96" s="27"/>
      <c r="C96" s="17">
        <v>627</v>
      </c>
      <c r="D96" s="3"/>
      <c r="E96" s="17" t="s">
        <v>251</v>
      </c>
      <c r="F96" s="43">
        <f>SUM(F97:F102)</f>
        <v>0</v>
      </c>
      <c r="G96" s="43">
        <f t="shared" ref="G96:L96" si="39">SUM(G97:G102)</f>
        <v>0</v>
      </c>
      <c r="H96" s="43">
        <f t="shared" si="39"/>
        <v>0</v>
      </c>
      <c r="I96" s="43">
        <f t="shared" si="39"/>
        <v>0</v>
      </c>
      <c r="J96" s="43">
        <f t="shared" si="39"/>
        <v>0</v>
      </c>
      <c r="K96" s="43">
        <f t="shared" si="39"/>
        <v>0</v>
      </c>
      <c r="L96" s="43">
        <f t="shared" si="39"/>
        <v>0</v>
      </c>
      <c r="M96" s="35">
        <f t="shared" si="37"/>
        <v>0</v>
      </c>
      <c r="N96" s="43"/>
    </row>
    <row r="97" spans="2:14" x14ac:dyDescent="0.3">
      <c r="B97" s="27"/>
      <c r="C97" s="17"/>
      <c r="D97" s="3">
        <v>6271</v>
      </c>
      <c r="E97" s="3" t="s">
        <v>252</v>
      </c>
      <c r="F97" s="35"/>
      <c r="G97" s="35"/>
      <c r="H97" s="35"/>
      <c r="I97" s="35"/>
      <c r="J97" s="35"/>
      <c r="K97" s="35"/>
      <c r="L97" s="35"/>
      <c r="M97" s="35">
        <f t="shared" si="37"/>
        <v>0</v>
      </c>
      <c r="N97" s="35" t="e">
        <f t="shared" ref="N97:N102" si="40">K97/I97</f>
        <v>#DIV/0!</v>
      </c>
    </row>
    <row r="98" spans="2:14" x14ac:dyDescent="0.3">
      <c r="B98" s="27"/>
      <c r="C98" s="17"/>
      <c r="D98" s="3">
        <v>6272</v>
      </c>
      <c r="E98" s="3" t="s">
        <v>253</v>
      </c>
      <c r="F98" s="35"/>
      <c r="G98" s="35"/>
      <c r="H98" s="35"/>
      <c r="I98" s="35"/>
      <c r="J98" s="35"/>
      <c r="K98" s="35"/>
      <c r="L98" s="35"/>
      <c r="M98" s="35">
        <f t="shared" si="37"/>
        <v>0</v>
      </c>
      <c r="N98" s="35" t="e">
        <f t="shared" si="40"/>
        <v>#DIV/0!</v>
      </c>
    </row>
    <row r="99" spans="2:14" x14ac:dyDescent="0.3">
      <c r="B99" s="27"/>
      <c r="C99" s="17"/>
      <c r="D99" s="3">
        <v>6273</v>
      </c>
      <c r="E99" s="3" t="s">
        <v>254</v>
      </c>
      <c r="F99" s="35"/>
      <c r="G99" s="35"/>
      <c r="H99" s="35"/>
      <c r="I99" s="35"/>
      <c r="J99" s="35"/>
      <c r="K99" s="35"/>
      <c r="L99" s="35"/>
      <c r="M99" s="35">
        <f t="shared" si="37"/>
        <v>0</v>
      </c>
      <c r="N99" s="35" t="e">
        <f t="shared" si="40"/>
        <v>#DIV/0!</v>
      </c>
    </row>
    <row r="100" spans="2:14" x14ac:dyDescent="0.3">
      <c r="B100" s="27"/>
      <c r="C100" s="17"/>
      <c r="D100" s="3">
        <v>6274</v>
      </c>
      <c r="E100" s="3" t="s">
        <v>255</v>
      </c>
      <c r="F100" s="35"/>
      <c r="G100" s="35"/>
      <c r="H100" s="35"/>
      <c r="I100" s="35"/>
      <c r="J100" s="35"/>
      <c r="K100" s="35"/>
      <c r="L100" s="35"/>
      <c r="M100" s="35">
        <f t="shared" si="37"/>
        <v>0</v>
      </c>
      <c r="N100" s="35" t="e">
        <f t="shared" si="40"/>
        <v>#DIV/0!</v>
      </c>
    </row>
    <row r="101" spans="2:14" x14ac:dyDescent="0.3">
      <c r="B101" s="27"/>
      <c r="C101" s="17"/>
      <c r="D101" s="3">
        <v>6275</v>
      </c>
      <c r="E101" s="3" t="s">
        <v>256</v>
      </c>
      <c r="F101" s="35"/>
      <c r="G101" s="35"/>
      <c r="H101" s="35"/>
      <c r="I101" s="35"/>
      <c r="J101" s="35"/>
      <c r="K101" s="35"/>
      <c r="L101" s="35"/>
      <c r="M101" s="35">
        <f t="shared" si="37"/>
        <v>0</v>
      </c>
      <c r="N101" s="35" t="e">
        <f t="shared" si="40"/>
        <v>#DIV/0!</v>
      </c>
    </row>
    <row r="102" spans="2:14" x14ac:dyDescent="0.3">
      <c r="B102" s="27"/>
      <c r="C102" s="17"/>
      <c r="D102" s="3">
        <v>6278</v>
      </c>
      <c r="E102" s="3" t="s">
        <v>257</v>
      </c>
      <c r="F102" s="35"/>
      <c r="G102" s="35"/>
      <c r="H102" s="35"/>
      <c r="I102" s="35"/>
      <c r="J102" s="35"/>
      <c r="K102" s="35"/>
      <c r="L102" s="35"/>
      <c r="M102" s="35">
        <f t="shared" si="37"/>
        <v>0</v>
      </c>
      <c r="N102" s="35" t="e">
        <f t="shared" si="40"/>
        <v>#DIV/0!</v>
      </c>
    </row>
    <row r="103" spans="2:14" s="10" customFormat="1" x14ac:dyDescent="0.3">
      <c r="B103" s="27"/>
      <c r="C103" s="17">
        <v>628</v>
      </c>
      <c r="D103" s="3"/>
      <c r="E103" s="17" t="s">
        <v>258</v>
      </c>
      <c r="F103" s="43">
        <f>SUM(F104:F111)</f>
        <v>0</v>
      </c>
      <c r="G103" s="43">
        <f t="shared" ref="G103:L103" si="41">SUM(G104:G111)</f>
        <v>0</v>
      </c>
      <c r="H103" s="43">
        <f t="shared" si="41"/>
        <v>0</v>
      </c>
      <c r="I103" s="43">
        <f t="shared" si="41"/>
        <v>0</v>
      </c>
      <c r="J103" s="43">
        <f t="shared" si="41"/>
        <v>0</v>
      </c>
      <c r="K103" s="43">
        <f t="shared" si="41"/>
        <v>0</v>
      </c>
      <c r="L103" s="43">
        <f t="shared" si="41"/>
        <v>0</v>
      </c>
      <c r="M103" s="35">
        <f t="shared" si="37"/>
        <v>0</v>
      </c>
      <c r="N103" s="43"/>
    </row>
    <row r="104" spans="2:14" x14ac:dyDescent="0.3">
      <c r="B104" s="27"/>
      <c r="C104" s="17"/>
      <c r="D104" s="3">
        <v>6281</v>
      </c>
      <c r="E104" s="3" t="s">
        <v>259</v>
      </c>
      <c r="F104" s="35"/>
      <c r="G104" s="35"/>
      <c r="H104" s="35"/>
      <c r="I104" s="35"/>
      <c r="J104" s="35"/>
      <c r="K104" s="35"/>
      <c r="L104" s="35"/>
      <c r="M104" s="35">
        <f t="shared" si="37"/>
        <v>0</v>
      </c>
      <c r="N104" s="35" t="e">
        <f t="shared" ref="N104:N111" si="42">K104/I104</f>
        <v>#DIV/0!</v>
      </c>
    </row>
    <row r="105" spans="2:14" x14ac:dyDescent="0.3">
      <c r="B105" s="27"/>
      <c r="C105" s="17"/>
      <c r="D105" s="3">
        <v>6282</v>
      </c>
      <c r="E105" s="3" t="s">
        <v>260</v>
      </c>
      <c r="F105" s="35"/>
      <c r="G105" s="35"/>
      <c r="H105" s="35"/>
      <c r="I105" s="35"/>
      <c r="J105" s="35"/>
      <c r="K105" s="35"/>
      <c r="L105" s="35"/>
      <c r="M105" s="35">
        <f t="shared" si="37"/>
        <v>0</v>
      </c>
      <c r="N105" s="35" t="e">
        <f t="shared" si="42"/>
        <v>#DIV/0!</v>
      </c>
    </row>
    <row r="106" spans="2:14" x14ac:dyDescent="0.3">
      <c r="B106" s="27"/>
      <c r="C106" s="17"/>
      <c r="D106" s="3">
        <v>6283</v>
      </c>
      <c r="E106" s="3" t="s">
        <v>261</v>
      </c>
      <c r="F106" s="35"/>
      <c r="G106" s="35"/>
      <c r="H106" s="35"/>
      <c r="I106" s="35"/>
      <c r="J106" s="35"/>
      <c r="K106" s="35"/>
      <c r="L106" s="35"/>
      <c r="M106" s="35">
        <f t="shared" si="37"/>
        <v>0</v>
      </c>
      <c r="N106" s="35" t="e">
        <f t="shared" si="42"/>
        <v>#DIV/0!</v>
      </c>
    </row>
    <row r="107" spans="2:14" x14ac:dyDescent="0.3">
      <c r="B107" s="27"/>
      <c r="C107" s="17"/>
      <c r="D107" s="3">
        <v>6284</v>
      </c>
      <c r="E107" s="3" t="s">
        <v>262</v>
      </c>
      <c r="F107" s="35"/>
      <c r="G107" s="35"/>
      <c r="H107" s="35"/>
      <c r="I107" s="35"/>
      <c r="J107" s="35"/>
      <c r="K107" s="35"/>
      <c r="L107" s="35"/>
      <c r="M107" s="35">
        <f t="shared" si="37"/>
        <v>0</v>
      </c>
      <c r="N107" s="35" t="e">
        <f t="shared" si="42"/>
        <v>#DIV/0!</v>
      </c>
    </row>
    <row r="108" spans="2:14" x14ac:dyDescent="0.3">
      <c r="B108" s="27"/>
      <c r="C108" s="17"/>
      <c r="D108" s="3">
        <v>6285</v>
      </c>
      <c r="E108" s="3" t="s">
        <v>263</v>
      </c>
      <c r="F108" s="35"/>
      <c r="G108" s="35"/>
      <c r="H108" s="35"/>
      <c r="I108" s="35"/>
      <c r="J108" s="35"/>
      <c r="K108" s="35"/>
      <c r="L108" s="35"/>
      <c r="M108" s="35">
        <f t="shared" si="37"/>
        <v>0</v>
      </c>
      <c r="N108" s="35" t="e">
        <f t="shared" si="42"/>
        <v>#DIV/0!</v>
      </c>
    </row>
    <row r="109" spans="2:14" x14ac:dyDescent="0.3">
      <c r="B109" s="27"/>
      <c r="C109" s="17"/>
      <c r="D109" s="3">
        <v>6286</v>
      </c>
      <c r="E109" s="3" t="s">
        <v>264</v>
      </c>
      <c r="F109" s="35"/>
      <c r="G109" s="35"/>
      <c r="H109" s="35"/>
      <c r="I109" s="35"/>
      <c r="J109" s="35"/>
      <c r="K109" s="35"/>
      <c r="L109" s="35"/>
      <c r="M109" s="35">
        <f t="shared" si="37"/>
        <v>0</v>
      </c>
      <c r="N109" s="35" t="e">
        <f t="shared" si="42"/>
        <v>#DIV/0!</v>
      </c>
    </row>
    <row r="110" spans="2:14" x14ac:dyDescent="0.3">
      <c r="B110" s="27"/>
      <c r="C110" s="17"/>
      <c r="D110" s="3">
        <v>6287</v>
      </c>
      <c r="E110" s="3" t="s">
        <v>265</v>
      </c>
      <c r="F110" s="35"/>
      <c r="G110" s="35"/>
      <c r="H110" s="35"/>
      <c r="I110" s="35"/>
      <c r="J110" s="35"/>
      <c r="K110" s="35"/>
      <c r="L110" s="35"/>
      <c r="M110" s="35">
        <f t="shared" si="37"/>
        <v>0</v>
      </c>
      <c r="N110" s="35" t="e">
        <f t="shared" si="42"/>
        <v>#DIV/0!</v>
      </c>
    </row>
    <row r="111" spans="2:14" x14ac:dyDescent="0.3">
      <c r="B111" s="27"/>
      <c r="C111" s="17"/>
      <c r="D111" s="3">
        <v>6288</v>
      </c>
      <c r="E111" s="3" t="s">
        <v>266</v>
      </c>
      <c r="F111" s="35"/>
      <c r="G111" s="35"/>
      <c r="H111" s="35"/>
      <c r="I111" s="35"/>
      <c r="J111" s="35"/>
      <c r="K111" s="35"/>
      <c r="L111" s="35"/>
      <c r="M111" s="35">
        <f t="shared" si="37"/>
        <v>0</v>
      </c>
      <c r="N111" s="35" t="e">
        <f t="shared" si="42"/>
        <v>#DIV/0!</v>
      </c>
    </row>
    <row r="112" spans="2:14" s="10" customFormat="1" ht="30" customHeight="1" x14ac:dyDescent="0.3">
      <c r="B112" s="27">
        <v>63</v>
      </c>
      <c r="C112" s="17"/>
      <c r="D112" s="17"/>
      <c r="E112" s="17" t="s">
        <v>156</v>
      </c>
      <c r="F112" s="43">
        <f>SUM(F113,F115,F117,F119)</f>
        <v>0</v>
      </c>
      <c r="G112" s="43">
        <f t="shared" ref="G112:M112" si="43">SUM(G113,G115,G117,G119)</f>
        <v>0</v>
      </c>
      <c r="H112" s="43">
        <f t="shared" si="43"/>
        <v>0</v>
      </c>
      <c r="I112" s="43">
        <f t="shared" si="43"/>
        <v>0</v>
      </c>
      <c r="J112" s="43">
        <f t="shared" si="43"/>
        <v>0</v>
      </c>
      <c r="K112" s="43">
        <f t="shared" si="43"/>
        <v>0</v>
      </c>
      <c r="L112" s="43">
        <f t="shared" si="43"/>
        <v>0</v>
      </c>
      <c r="M112" s="43">
        <f t="shared" si="43"/>
        <v>0</v>
      </c>
      <c r="N112" s="43" t="e">
        <f>K112/I112</f>
        <v>#DIV/0!</v>
      </c>
    </row>
    <row r="113" spans="2:14" s="10" customFormat="1" x14ac:dyDescent="0.3">
      <c r="B113" s="27"/>
      <c r="C113" s="17">
        <v>631</v>
      </c>
      <c r="D113" s="3"/>
      <c r="E113" s="17" t="s">
        <v>267</v>
      </c>
      <c r="F113" s="43">
        <f>SUM(F114)</f>
        <v>0</v>
      </c>
      <c r="G113" s="43">
        <f t="shared" ref="G113:L113" si="44">SUM(G114)</f>
        <v>0</v>
      </c>
      <c r="H113" s="43">
        <f t="shared" si="44"/>
        <v>0</v>
      </c>
      <c r="I113" s="43">
        <f t="shared" si="44"/>
        <v>0</v>
      </c>
      <c r="J113" s="43">
        <f t="shared" si="44"/>
        <v>0</v>
      </c>
      <c r="K113" s="43">
        <f t="shared" si="44"/>
        <v>0</v>
      </c>
      <c r="L113" s="43">
        <f t="shared" si="44"/>
        <v>0</v>
      </c>
      <c r="M113" s="35">
        <f t="shared" ref="M113:M120" si="45">K113-L113</f>
        <v>0</v>
      </c>
      <c r="N113" s="43"/>
    </row>
    <row r="114" spans="2:14" x14ac:dyDescent="0.3">
      <c r="B114" s="27"/>
      <c r="C114" s="17"/>
      <c r="D114" s="3">
        <v>6310</v>
      </c>
      <c r="E114" s="3" t="s">
        <v>267</v>
      </c>
      <c r="F114" s="35"/>
      <c r="G114" s="35"/>
      <c r="H114" s="35"/>
      <c r="I114" s="35"/>
      <c r="J114" s="35"/>
      <c r="K114" s="35"/>
      <c r="L114" s="35"/>
      <c r="M114" s="35">
        <f t="shared" si="45"/>
        <v>0</v>
      </c>
      <c r="N114" s="35" t="e">
        <f t="shared" ref="N114" si="46">K114/I114</f>
        <v>#DIV/0!</v>
      </c>
    </row>
    <row r="115" spans="2:14" s="10" customFormat="1" x14ac:dyDescent="0.3">
      <c r="B115" s="27"/>
      <c r="C115" s="17">
        <v>632</v>
      </c>
      <c r="D115" s="3"/>
      <c r="E115" s="17" t="s">
        <v>268</v>
      </c>
      <c r="F115" s="43">
        <f>SUM(F116)</f>
        <v>0</v>
      </c>
      <c r="G115" s="43">
        <f t="shared" ref="G115:L115" si="47">SUM(G116)</f>
        <v>0</v>
      </c>
      <c r="H115" s="43">
        <f t="shared" si="47"/>
        <v>0</v>
      </c>
      <c r="I115" s="43">
        <f t="shared" si="47"/>
        <v>0</v>
      </c>
      <c r="J115" s="43">
        <f t="shared" si="47"/>
        <v>0</v>
      </c>
      <c r="K115" s="43">
        <f t="shared" si="47"/>
        <v>0</v>
      </c>
      <c r="L115" s="43">
        <f t="shared" si="47"/>
        <v>0</v>
      </c>
      <c r="M115" s="35">
        <f t="shared" si="45"/>
        <v>0</v>
      </c>
      <c r="N115" s="43"/>
    </row>
    <row r="116" spans="2:14" x14ac:dyDescent="0.3">
      <c r="B116" s="27"/>
      <c r="C116" s="17"/>
      <c r="D116" s="3">
        <v>6320</v>
      </c>
      <c r="E116" s="3" t="s">
        <v>268</v>
      </c>
      <c r="F116" s="35"/>
      <c r="G116" s="35"/>
      <c r="H116" s="35"/>
      <c r="I116" s="35"/>
      <c r="J116" s="35"/>
      <c r="K116" s="35"/>
      <c r="L116" s="35"/>
      <c r="M116" s="35">
        <f t="shared" si="45"/>
        <v>0</v>
      </c>
      <c r="N116" s="35" t="e">
        <f t="shared" ref="N116" si="48">K116/I116</f>
        <v>#DIV/0!</v>
      </c>
    </row>
    <row r="117" spans="2:14" s="10" customFormat="1" x14ac:dyDescent="0.3">
      <c r="B117" s="27"/>
      <c r="C117" s="17">
        <v>633</v>
      </c>
      <c r="D117" s="3"/>
      <c r="E117" s="17" t="s">
        <v>269</v>
      </c>
      <c r="F117" s="43">
        <f>SUM(F118)</f>
        <v>0</v>
      </c>
      <c r="G117" s="43">
        <f t="shared" ref="G117:L117" si="49">SUM(G118)</f>
        <v>0</v>
      </c>
      <c r="H117" s="43">
        <f t="shared" si="49"/>
        <v>0</v>
      </c>
      <c r="I117" s="43">
        <f t="shared" si="49"/>
        <v>0</v>
      </c>
      <c r="J117" s="43">
        <f t="shared" si="49"/>
        <v>0</v>
      </c>
      <c r="K117" s="43">
        <f t="shared" si="49"/>
        <v>0</v>
      </c>
      <c r="L117" s="43">
        <f t="shared" si="49"/>
        <v>0</v>
      </c>
      <c r="M117" s="35">
        <f t="shared" si="45"/>
        <v>0</v>
      </c>
      <c r="N117" s="43"/>
    </row>
    <row r="118" spans="2:14" x14ac:dyDescent="0.3">
      <c r="B118" s="27"/>
      <c r="C118" s="17"/>
      <c r="D118" s="3">
        <v>6330</v>
      </c>
      <c r="E118" s="3" t="s">
        <v>269</v>
      </c>
      <c r="F118" s="35"/>
      <c r="G118" s="35"/>
      <c r="H118" s="35"/>
      <c r="I118" s="35"/>
      <c r="J118" s="35"/>
      <c r="K118" s="35"/>
      <c r="L118" s="35"/>
      <c r="M118" s="35">
        <f t="shared" si="45"/>
        <v>0</v>
      </c>
      <c r="N118" s="35" t="e">
        <f t="shared" ref="N118" si="50">K118/I118</f>
        <v>#DIV/0!</v>
      </c>
    </row>
    <row r="119" spans="2:14" s="10" customFormat="1" x14ac:dyDescent="0.3">
      <c r="B119" s="27"/>
      <c r="C119" s="17">
        <v>638</v>
      </c>
      <c r="D119" s="3"/>
      <c r="E119" s="17" t="s">
        <v>270</v>
      </c>
      <c r="F119" s="43">
        <f>SUM(F120)</f>
        <v>0</v>
      </c>
      <c r="G119" s="43">
        <f t="shared" ref="G119:L119" si="51">SUM(G120)</f>
        <v>0</v>
      </c>
      <c r="H119" s="43">
        <f t="shared" si="51"/>
        <v>0</v>
      </c>
      <c r="I119" s="43">
        <f t="shared" si="51"/>
        <v>0</v>
      </c>
      <c r="J119" s="43">
        <f t="shared" si="51"/>
        <v>0</v>
      </c>
      <c r="K119" s="43">
        <f t="shared" si="51"/>
        <v>0</v>
      </c>
      <c r="L119" s="43">
        <f t="shared" si="51"/>
        <v>0</v>
      </c>
      <c r="M119" s="35">
        <f t="shared" si="45"/>
        <v>0</v>
      </c>
      <c r="N119" s="43"/>
    </row>
    <row r="120" spans="2:14" x14ac:dyDescent="0.3">
      <c r="B120" s="27"/>
      <c r="C120" s="17"/>
      <c r="D120" s="3">
        <v>6380</v>
      </c>
      <c r="E120" s="3" t="s">
        <v>270</v>
      </c>
      <c r="F120" s="35"/>
      <c r="G120" s="35"/>
      <c r="H120" s="35"/>
      <c r="I120" s="35"/>
      <c r="J120" s="35"/>
      <c r="K120" s="35"/>
      <c r="L120" s="35"/>
      <c r="M120" s="35">
        <f t="shared" si="45"/>
        <v>0</v>
      </c>
      <c r="N120" s="35" t="e">
        <f t="shared" ref="N120" si="52">K120/I120</f>
        <v>#DIV/0!</v>
      </c>
    </row>
    <row r="121" spans="2:14" s="10" customFormat="1" ht="30" customHeight="1" x14ac:dyDescent="0.3">
      <c r="B121" s="27">
        <v>64</v>
      </c>
      <c r="C121" s="17"/>
      <c r="D121" s="17"/>
      <c r="E121" s="17" t="s">
        <v>157</v>
      </c>
      <c r="F121" s="43">
        <f>SUM(F122,F124,F126,F128,F130)</f>
        <v>0</v>
      </c>
      <c r="G121" s="43">
        <f t="shared" ref="G121:M121" si="53">SUM(G122,G124,G126,G128,G130)</f>
        <v>0</v>
      </c>
      <c r="H121" s="43">
        <f t="shared" si="53"/>
        <v>0</v>
      </c>
      <c r="I121" s="43">
        <f t="shared" si="53"/>
        <v>0</v>
      </c>
      <c r="J121" s="43">
        <f t="shared" si="53"/>
        <v>0</v>
      </c>
      <c r="K121" s="43">
        <f t="shared" si="53"/>
        <v>0</v>
      </c>
      <c r="L121" s="43">
        <f t="shared" si="53"/>
        <v>0</v>
      </c>
      <c r="M121" s="43">
        <f t="shared" si="53"/>
        <v>0</v>
      </c>
      <c r="N121" s="43" t="e">
        <f>K121/I121</f>
        <v>#DIV/0!</v>
      </c>
    </row>
    <row r="122" spans="2:14" x14ac:dyDescent="0.3">
      <c r="B122" s="27"/>
      <c r="C122" s="17">
        <v>641</v>
      </c>
      <c r="D122" s="3"/>
      <c r="E122" s="17" t="s">
        <v>271</v>
      </c>
      <c r="F122" s="43">
        <f>SUM(F123)</f>
        <v>0</v>
      </c>
      <c r="G122" s="43">
        <f t="shared" ref="G122:L122" si="54">SUM(G123)</f>
        <v>0</v>
      </c>
      <c r="H122" s="43">
        <f t="shared" si="54"/>
        <v>0</v>
      </c>
      <c r="I122" s="43">
        <f t="shared" si="54"/>
        <v>0</v>
      </c>
      <c r="J122" s="43">
        <f t="shared" si="54"/>
        <v>0</v>
      </c>
      <c r="K122" s="43">
        <f t="shared" si="54"/>
        <v>0</v>
      </c>
      <c r="L122" s="43">
        <f t="shared" si="54"/>
        <v>0</v>
      </c>
      <c r="M122" s="35">
        <f t="shared" ref="M122:M131" si="55">K122-L122</f>
        <v>0</v>
      </c>
      <c r="N122" s="35"/>
    </row>
    <row r="123" spans="2:14" x14ac:dyDescent="0.3">
      <c r="B123" s="27"/>
      <c r="C123" s="17"/>
      <c r="D123" s="3">
        <v>6418</v>
      </c>
      <c r="E123" s="3" t="s">
        <v>272</v>
      </c>
      <c r="F123" s="35"/>
      <c r="G123" s="35"/>
      <c r="H123" s="35"/>
      <c r="I123" s="35"/>
      <c r="J123" s="35"/>
      <c r="K123" s="35"/>
      <c r="L123" s="35"/>
      <c r="M123" s="35">
        <f t="shared" si="55"/>
        <v>0</v>
      </c>
      <c r="N123" s="35" t="e">
        <f t="shared" ref="N123" si="56">K123/I123</f>
        <v>#DIV/0!</v>
      </c>
    </row>
    <row r="124" spans="2:14" s="10" customFormat="1" x14ac:dyDescent="0.3">
      <c r="B124" s="27"/>
      <c r="C124" s="17">
        <v>642</v>
      </c>
      <c r="D124" s="17"/>
      <c r="E124" s="17" t="s">
        <v>273</v>
      </c>
      <c r="F124" s="43">
        <f>SUM(F125)</f>
        <v>0</v>
      </c>
      <c r="G124" s="43">
        <f t="shared" ref="G124:L124" si="57">SUM(G125)</f>
        <v>0</v>
      </c>
      <c r="H124" s="43">
        <f t="shared" si="57"/>
        <v>0</v>
      </c>
      <c r="I124" s="43">
        <f t="shared" si="57"/>
        <v>0</v>
      </c>
      <c r="J124" s="43">
        <f t="shared" si="57"/>
        <v>0</v>
      </c>
      <c r="K124" s="43">
        <f t="shared" si="57"/>
        <v>0</v>
      </c>
      <c r="L124" s="43">
        <f t="shared" si="57"/>
        <v>0</v>
      </c>
      <c r="M124" s="35">
        <f t="shared" si="55"/>
        <v>0</v>
      </c>
      <c r="N124" s="43"/>
    </row>
    <row r="125" spans="2:14" x14ac:dyDescent="0.3">
      <c r="B125" s="27"/>
      <c r="C125" s="17"/>
      <c r="D125" s="3">
        <v>6420</v>
      </c>
      <c r="E125" s="3" t="s">
        <v>273</v>
      </c>
      <c r="F125" s="35"/>
      <c r="G125" s="35"/>
      <c r="H125" s="35"/>
      <c r="I125" s="35"/>
      <c r="J125" s="35"/>
      <c r="K125" s="35"/>
      <c r="L125" s="35"/>
      <c r="M125" s="35">
        <f t="shared" si="55"/>
        <v>0</v>
      </c>
      <c r="N125" s="35" t="e">
        <f t="shared" ref="N125" si="58">K125/I125</f>
        <v>#DIV/0!</v>
      </c>
    </row>
    <row r="126" spans="2:14" s="10" customFormat="1" x14ac:dyDescent="0.3">
      <c r="B126" s="27"/>
      <c r="C126" s="17">
        <v>643</v>
      </c>
      <c r="D126" s="17"/>
      <c r="E126" s="17" t="s">
        <v>274</v>
      </c>
      <c r="F126" s="43">
        <f>SUM(F127)</f>
        <v>0</v>
      </c>
      <c r="G126" s="43">
        <f t="shared" ref="G126:L126" si="59">SUM(G127)</f>
        <v>0</v>
      </c>
      <c r="H126" s="43">
        <f t="shared" si="59"/>
        <v>0</v>
      </c>
      <c r="I126" s="43">
        <f t="shared" si="59"/>
        <v>0</v>
      </c>
      <c r="J126" s="43">
        <f t="shared" si="59"/>
        <v>0</v>
      </c>
      <c r="K126" s="43">
        <f t="shared" si="59"/>
        <v>0</v>
      </c>
      <c r="L126" s="43">
        <f t="shared" si="59"/>
        <v>0</v>
      </c>
      <c r="M126" s="35">
        <f t="shared" si="55"/>
        <v>0</v>
      </c>
      <c r="N126" s="43"/>
    </row>
    <row r="127" spans="2:14" x14ac:dyDescent="0.3">
      <c r="B127" s="27"/>
      <c r="C127" s="17"/>
      <c r="D127" s="3">
        <v>6430</v>
      </c>
      <c r="E127" s="3" t="s">
        <v>274</v>
      </c>
      <c r="F127" s="35"/>
      <c r="G127" s="35"/>
      <c r="H127" s="35"/>
      <c r="I127" s="35"/>
      <c r="J127" s="35"/>
      <c r="K127" s="35"/>
      <c r="L127" s="35"/>
      <c r="M127" s="35">
        <f t="shared" si="55"/>
        <v>0</v>
      </c>
      <c r="N127" s="35" t="e">
        <f t="shared" ref="N127" si="60">K127/I127</f>
        <v>#DIV/0!</v>
      </c>
    </row>
    <row r="128" spans="2:14" s="10" customFormat="1" x14ac:dyDescent="0.3">
      <c r="B128" s="27"/>
      <c r="C128" s="17">
        <v>644</v>
      </c>
      <c r="D128" s="17"/>
      <c r="E128" s="17" t="s">
        <v>275</v>
      </c>
      <c r="F128" s="43">
        <f>SUM(F129)</f>
        <v>0</v>
      </c>
      <c r="G128" s="43">
        <f t="shared" ref="G128:L128" si="61">SUM(G129)</f>
        <v>0</v>
      </c>
      <c r="H128" s="43">
        <f t="shared" si="61"/>
        <v>0</v>
      </c>
      <c r="I128" s="43">
        <f t="shared" si="61"/>
        <v>0</v>
      </c>
      <c r="J128" s="43">
        <f t="shared" si="61"/>
        <v>0</v>
      </c>
      <c r="K128" s="43">
        <f t="shared" si="61"/>
        <v>0</v>
      </c>
      <c r="L128" s="43">
        <f t="shared" si="61"/>
        <v>0</v>
      </c>
      <c r="M128" s="35">
        <f t="shared" si="55"/>
        <v>0</v>
      </c>
      <c r="N128" s="43"/>
    </row>
    <row r="129" spans="2:14" x14ac:dyDescent="0.3">
      <c r="B129" s="27"/>
      <c r="C129" s="17"/>
      <c r="D129" s="3">
        <v>6440</v>
      </c>
      <c r="E129" s="3" t="s">
        <v>275</v>
      </c>
      <c r="F129" s="35"/>
      <c r="G129" s="35"/>
      <c r="H129" s="35"/>
      <c r="I129" s="35"/>
      <c r="J129" s="35"/>
      <c r="K129" s="35"/>
      <c r="L129" s="35"/>
      <c r="M129" s="35">
        <f t="shared" si="55"/>
        <v>0</v>
      </c>
      <c r="N129" s="35" t="e">
        <f t="shared" ref="N129" si="62">K129/I129</f>
        <v>#DIV/0!</v>
      </c>
    </row>
    <row r="130" spans="2:14" s="10" customFormat="1" x14ac:dyDescent="0.3">
      <c r="B130" s="27"/>
      <c r="C130" s="17">
        <v>648</v>
      </c>
      <c r="D130" s="17"/>
      <c r="E130" s="17" t="s">
        <v>276</v>
      </c>
      <c r="F130" s="43">
        <f>SUM(F131)</f>
        <v>0</v>
      </c>
      <c r="G130" s="43">
        <f t="shared" ref="G130:L130" si="63">SUM(G131)</f>
        <v>0</v>
      </c>
      <c r="H130" s="43">
        <f t="shared" si="63"/>
        <v>0</v>
      </c>
      <c r="I130" s="43">
        <f t="shared" si="63"/>
        <v>0</v>
      </c>
      <c r="J130" s="43">
        <f t="shared" si="63"/>
        <v>0</v>
      </c>
      <c r="K130" s="43">
        <f t="shared" si="63"/>
        <v>0</v>
      </c>
      <c r="L130" s="43">
        <f t="shared" si="63"/>
        <v>0</v>
      </c>
      <c r="M130" s="35">
        <f t="shared" si="55"/>
        <v>0</v>
      </c>
      <c r="N130" s="43"/>
    </row>
    <row r="131" spans="2:14" x14ac:dyDescent="0.3">
      <c r="B131" s="27"/>
      <c r="C131" s="17"/>
      <c r="D131" s="3">
        <v>6480</v>
      </c>
      <c r="E131" s="3" t="s">
        <v>276</v>
      </c>
      <c r="F131" s="35"/>
      <c r="G131" s="35"/>
      <c r="H131" s="35"/>
      <c r="I131" s="35"/>
      <c r="J131" s="35"/>
      <c r="K131" s="35"/>
      <c r="L131" s="35"/>
      <c r="M131" s="35">
        <f t="shared" si="55"/>
        <v>0</v>
      </c>
      <c r="N131" s="35" t="e">
        <f t="shared" ref="N131" si="64">K131/I131</f>
        <v>#DIV/0!</v>
      </c>
    </row>
    <row r="132" spans="2:14" s="10" customFormat="1" ht="30" customHeight="1" x14ac:dyDescent="0.3">
      <c r="B132" s="27">
        <v>65</v>
      </c>
      <c r="C132" s="17"/>
      <c r="D132" s="17"/>
      <c r="E132" s="17" t="s">
        <v>158</v>
      </c>
      <c r="F132" s="43">
        <f>SUM(F133,F140,F142,F144)</f>
        <v>0</v>
      </c>
      <c r="G132" s="43">
        <f t="shared" ref="G132:M132" si="65">SUM(G133,G140,G142,G144)</f>
        <v>0</v>
      </c>
      <c r="H132" s="43">
        <f t="shared" si="65"/>
        <v>0</v>
      </c>
      <c r="I132" s="43">
        <f t="shared" si="65"/>
        <v>0</v>
      </c>
      <c r="J132" s="43">
        <f t="shared" si="65"/>
        <v>0</v>
      </c>
      <c r="K132" s="43">
        <f t="shared" si="65"/>
        <v>0</v>
      </c>
      <c r="L132" s="43">
        <f t="shared" si="65"/>
        <v>0</v>
      </c>
      <c r="M132" s="43">
        <f t="shared" si="65"/>
        <v>0</v>
      </c>
      <c r="N132" s="43" t="e">
        <f>K132/I132</f>
        <v>#DIV/0!</v>
      </c>
    </row>
    <row r="133" spans="2:14" x14ac:dyDescent="0.3">
      <c r="B133" s="27"/>
      <c r="C133" s="17">
        <v>651</v>
      </c>
      <c r="D133" s="3"/>
      <c r="E133" s="17" t="s">
        <v>277</v>
      </c>
      <c r="F133" s="35">
        <f>SUM(F134:F139)</f>
        <v>0</v>
      </c>
      <c r="G133" s="35">
        <f t="shared" ref="G133:L133" si="66">SUM(G134:G139)</f>
        <v>0</v>
      </c>
      <c r="H133" s="35">
        <f t="shared" si="66"/>
        <v>0</v>
      </c>
      <c r="I133" s="35">
        <f t="shared" si="66"/>
        <v>0</v>
      </c>
      <c r="J133" s="35">
        <f t="shared" si="66"/>
        <v>0</v>
      </c>
      <c r="K133" s="35">
        <f t="shared" si="66"/>
        <v>0</v>
      </c>
      <c r="L133" s="35">
        <f t="shared" si="66"/>
        <v>0</v>
      </c>
      <c r="M133" s="35">
        <f>K133-L133</f>
        <v>0</v>
      </c>
      <c r="N133" s="35"/>
    </row>
    <row r="134" spans="2:14" x14ac:dyDescent="0.3">
      <c r="B134" s="27"/>
      <c r="C134" s="17"/>
      <c r="D134" s="3">
        <v>6510</v>
      </c>
      <c r="E134" s="3" t="s">
        <v>277</v>
      </c>
      <c r="F134" s="35"/>
      <c r="G134" s="35"/>
      <c r="H134" s="35"/>
      <c r="I134" s="35"/>
      <c r="J134" s="35"/>
      <c r="K134" s="35"/>
      <c r="L134" s="35"/>
      <c r="M134" s="35">
        <f>K134-L134</f>
        <v>0</v>
      </c>
      <c r="N134" s="35" t="e">
        <f t="shared" ref="N134" si="67">K134/I134</f>
        <v>#DIV/0!</v>
      </c>
    </row>
    <row r="135" spans="2:14" x14ac:dyDescent="0.3">
      <c r="B135" s="27"/>
      <c r="C135" s="17">
        <v>653</v>
      </c>
      <c r="D135" s="3"/>
      <c r="E135" s="3" t="s">
        <v>278</v>
      </c>
      <c r="F135" s="35"/>
      <c r="G135" s="35"/>
      <c r="H135" s="35"/>
      <c r="I135" s="35"/>
      <c r="J135" s="35"/>
      <c r="K135" s="35"/>
      <c r="L135" s="35"/>
      <c r="M135" s="35">
        <f>K135-L135</f>
        <v>0</v>
      </c>
      <c r="N135" s="35"/>
    </row>
    <row r="136" spans="2:14" x14ac:dyDescent="0.3">
      <c r="B136" s="27"/>
      <c r="C136" s="17"/>
      <c r="D136" s="3">
        <v>6531</v>
      </c>
      <c r="E136" s="3" t="s">
        <v>279</v>
      </c>
      <c r="F136" s="35"/>
      <c r="G136" s="35"/>
      <c r="H136" s="35"/>
      <c r="I136" s="35"/>
      <c r="J136" s="35"/>
      <c r="K136" s="35"/>
      <c r="L136" s="35"/>
      <c r="M136" s="35">
        <f t="shared" ref="M136:M139" si="68">K136-L136</f>
        <v>0</v>
      </c>
      <c r="N136" s="35" t="e">
        <f t="shared" ref="N136:N139" si="69">K136/I136</f>
        <v>#DIV/0!</v>
      </c>
    </row>
    <row r="137" spans="2:14" x14ac:dyDescent="0.3">
      <c r="B137" s="27"/>
      <c r="C137" s="17"/>
      <c r="D137" s="3">
        <v>6532</v>
      </c>
      <c r="E137" s="3" t="s">
        <v>280</v>
      </c>
      <c r="F137" s="35"/>
      <c r="G137" s="35"/>
      <c r="H137" s="35"/>
      <c r="I137" s="35"/>
      <c r="J137" s="35"/>
      <c r="K137" s="35"/>
      <c r="L137" s="35"/>
      <c r="M137" s="35">
        <f t="shared" si="68"/>
        <v>0</v>
      </c>
      <c r="N137" s="35" t="e">
        <f t="shared" si="69"/>
        <v>#DIV/0!</v>
      </c>
    </row>
    <row r="138" spans="2:14" x14ac:dyDescent="0.3">
      <c r="B138" s="3"/>
      <c r="C138" s="3"/>
      <c r="D138" s="3">
        <v>6533</v>
      </c>
      <c r="E138" s="3" t="s">
        <v>281</v>
      </c>
      <c r="F138" s="35"/>
      <c r="G138" s="35"/>
      <c r="H138" s="35"/>
      <c r="I138" s="35"/>
      <c r="J138" s="35"/>
      <c r="K138" s="35"/>
      <c r="L138" s="35"/>
      <c r="M138" s="35">
        <f t="shared" si="68"/>
        <v>0</v>
      </c>
      <c r="N138" s="35" t="e">
        <f t="shared" si="69"/>
        <v>#DIV/0!</v>
      </c>
    </row>
    <row r="139" spans="2:14" x14ac:dyDescent="0.3">
      <c r="B139" s="27"/>
      <c r="C139" s="17"/>
      <c r="D139" s="3">
        <v>6534</v>
      </c>
      <c r="E139" s="3" t="s">
        <v>282</v>
      </c>
      <c r="F139" s="35"/>
      <c r="G139" s="35"/>
      <c r="H139" s="35"/>
      <c r="I139" s="35"/>
      <c r="J139" s="35"/>
      <c r="K139" s="35"/>
      <c r="L139" s="35"/>
      <c r="M139" s="35">
        <f t="shared" si="68"/>
        <v>0</v>
      </c>
      <c r="N139" s="35" t="e">
        <f t="shared" si="69"/>
        <v>#DIV/0!</v>
      </c>
    </row>
    <row r="140" spans="2:14" x14ac:dyDescent="0.3">
      <c r="B140" s="27"/>
      <c r="C140" s="17">
        <v>654</v>
      </c>
      <c r="D140" s="3"/>
      <c r="E140" s="17" t="s">
        <v>283</v>
      </c>
      <c r="F140" s="35">
        <f>SUM(F141)</f>
        <v>0</v>
      </c>
      <c r="G140" s="35">
        <f t="shared" ref="G140:L140" si="70">SUM(G141)</f>
        <v>0</v>
      </c>
      <c r="H140" s="35">
        <f t="shared" si="70"/>
        <v>0</v>
      </c>
      <c r="I140" s="35">
        <f t="shared" si="70"/>
        <v>0</v>
      </c>
      <c r="J140" s="35">
        <f t="shared" si="70"/>
        <v>0</v>
      </c>
      <c r="K140" s="35">
        <f t="shared" si="70"/>
        <v>0</v>
      </c>
      <c r="L140" s="35">
        <f t="shared" si="70"/>
        <v>0</v>
      </c>
      <c r="M140" s="35">
        <f>K140-L140</f>
        <v>0</v>
      </c>
      <c r="N140" s="35"/>
    </row>
    <row r="141" spans="2:14" x14ac:dyDescent="0.3">
      <c r="B141" s="27"/>
      <c r="C141" s="17"/>
      <c r="D141" s="3">
        <v>6540</v>
      </c>
      <c r="E141" s="3" t="s">
        <v>283</v>
      </c>
      <c r="F141" s="35"/>
      <c r="G141" s="35"/>
      <c r="H141" s="35"/>
      <c r="I141" s="35"/>
      <c r="J141" s="35"/>
      <c r="K141" s="35"/>
      <c r="L141" s="35"/>
      <c r="M141" s="35">
        <f>K141-L141</f>
        <v>0</v>
      </c>
      <c r="N141" s="35" t="e">
        <f t="shared" ref="N141" si="71">K141/I141</f>
        <v>#DIV/0!</v>
      </c>
    </row>
    <row r="142" spans="2:14" x14ac:dyDescent="0.3">
      <c r="B142" s="27"/>
      <c r="C142" s="17">
        <v>655</v>
      </c>
      <c r="D142" s="3"/>
      <c r="E142" s="17" t="s">
        <v>284</v>
      </c>
      <c r="F142" s="35">
        <f>SUM(F143)</f>
        <v>0</v>
      </c>
      <c r="G142" s="35">
        <f t="shared" ref="G142:L142" si="72">SUM(G143)</f>
        <v>0</v>
      </c>
      <c r="H142" s="35">
        <f t="shared" si="72"/>
        <v>0</v>
      </c>
      <c r="I142" s="35">
        <f t="shared" si="72"/>
        <v>0</v>
      </c>
      <c r="J142" s="35">
        <f t="shared" si="72"/>
        <v>0</v>
      </c>
      <c r="K142" s="35">
        <f t="shared" si="72"/>
        <v>0</v>
      </c>
      <c r="L142" s="35">
        <f t="shared" si="72"/>
        <v>0</v>
      </c>
      <c r="M142" s="35">
        <f>K142-L142</f>
        <v>0</v>
      </c>
      <c r="N142" s="35"/>
    </row>
    <row r="143" spans="2:14" x14ac:dyDescent="0.3">
      <c r="B143" s="27"/>
      <c r="C143" s="17"/>
      <c r="D143" s="3">
        <v>6550</v>
      </c>
      <c r="E143" s="3" t="s">
        <v>284</v>
      </c>
      <c r="F143" s="35"/>
      <c r="G143" s="35"/>
      <c r="H143" s="35"/>
      <c r="I143" s="35"/>
      <c r="J143" s="35"/>
      <c r="K143" s="35"/>
      <c r="L143" s="35"/>
      <c r="M143" s="35">
        <f>K143-L143</f>
        <v>0</v>
      </c>
      <c r="N143" s="35" t="e">
        <f t="shared" ref="N143" si="73">K143/I143</f>
        <v>#DIV/0!</v>
      </c>
    </row>
    <row r="144" spans="2:14" x14ac:dyDescent="0.3">
      <c r="B144" s="27"/>
      <c r="C144" s="17">
        <v>656</v>
      </c>
      <c r="D144" s="3"/>
      <c r="E144" s="17" t="s">
        <v>285</v>
      </c>
      <c r="F144" s="35">
        <f>SUM(F145:F149)</f>
        <v>0</v>
      </c>
      <c r="G144" s="35">
        <f t="shared" ref="G144:L144" si="74">SUM(G145:G149)</f>
        <v>0</v>
      </c>
      <c r="H144" s="35">
        <f t="shared" si="74"/>
        <v>0</v>
      </c>
      <c r="I144" s="35">
        <f t="shared" si="74"/>
        <v>0</v>
      </c>
      <c r="J144" s="35">
        <f t="shared" si="74"/>
        <v>0</v>
      </c>
      <c r="K144" s="35">
        <f t="shared" si="74"/>
        <v>0</v>
      </c>
      <c r="L144" s="35">
        <f t="shared" si="74"/>
        <v>0</v>
      </c>
      <c r="M144" s="35">
        <f>K144-L144</f>
        <v>0</v>
      </c>
      <c r="N144" s="35"/>
    </row>
    <row r="145" spans="2:14" x14ac:dyDescent="0.3">
      <c r="B145" s="27"/>
      <c r="C145" s="17"/>
      <c r="D145" s="3">
        <v>6561</v>
      </c>
      <c r="E145" s="3" t="s">
        <v>286</v>
      </c>
      <c r="F145" s="35"/>
      <c r="G145" s="35"/>
      <c r="H145" s="35"/>
      <c r="I145" s="35"/>
      <c r="J145" s="35"/>
      <c r="K145" s="35"/>
      <c r="L145" s="35"/>
      <c r="M145" s="35">
        <f t="shared" ref="M145:M149" si="75">K145-L145</f>
        <v>0</v>
      </c>
      <c r="N145" s="35" t="e">
        <f t="shared" ref="N145:N149" si="76">K145/I145</f>
        <v>#DIV/0!</v>
      </c>
    </row>
    <row r="146" spans="2:14" x14ac:dyDescent="0.3">
      <c r="B146" s="27"/>
      <c r="C146" s="17"/>
      <c r="D146" s="3">
        <v>6562</v>
      </c>
      <c r="E146" s="3" t="s">
        <v>287</v>
      </c>
      <c r="F146" s="35"/>
      <c r="G146" s="35"/>
      <c r="H146" s="35"/>
      <c r="I146" s="35"/>
      <c r="J146" s="35"/>
      <c r="K146" s="35"/>
      <c r="L146" s="35"/>
      <c r="M146" s="35">
        <f t="shared" si="75"/>
        <v>0</v>
      </c>
      <c r="N146" s="35" t="e">
        <f t="shared" si="76"/>
        <v>#DIV/0!</v>
      </c>
    </row>
    <row r="147" spans="2:14" x14ac:dyDescent="0.3">
      <c r="B147" s="27"/>
      <c r="C147" s="17"/>
      <c r="D147" s="3">
        <v>6563</v>
      </c>
      <c r="E147" s="3" t="s">
        <v>288</v>
      </c>
      <c r="F147" s="35"/>
      <c r="G147" s="35"/>
      <c r="H147" s="35"/>
      <c r="I147" s="35"/>
      <c r="J147" s="35"/>
      <c r="K147" s="35"/>
      <c r="L147" s="35"/>
      <c r="M147" s="35">
        <f t="shared" si="75"/>
        <v>0</v>
      </c>
      <c r="N147" s="35" t="e">
        <f t="shared" si="76"/>
        <v>#DIV/0!</v>
      </c>
    </row>
    <row r="148" spans="2:14" x14ac:dyDescent="0.3">
      <c r="B148" s="27"/>
      <c r="C148" s="17"/>
      <c r="D148" s="3">
        <v>6564</v>
      </c>
      <c r="E148" s="3" t="s">
        <v>289</v>
      </c>
      <c r="F148" s="35"/>
      <c r="G148" s="35"/>
      <c r="H148" s="35"/>
      <c r="I148" s="35"/>
      <c r="J148" s="35"/>
      <c r="K148" s="35"/>
      <c r="L148" s="35"/>
      <c r="M148" s="35">
        <f t="shared" si="75"/>
        <v>0</v>
      </c>
      <c r="N148" s="35" t="e">
        <f t="shared" si="76"/>
        <v>#DIV/0!</v>
      </c>
    </row>
    <row r="149" spans="2:14" x14ac:dyDescent="0.3">
      <c r="B149" s="27"/>
      <c r="C149" s="17"/>
      <c r="D149" s="3">
        <v>6565</v>
      </c>
      <c r="E149" s="3" t="s">
        <v>290</v>
      </c>
      <c r="F149" s="35"/>
      <c r="G149" s="35"/>
      <c r="H149" s="35"/>
      <c r="I149" s="35"/>
      <c r="J149" s="35"/>
      <c r="K149" s="35"/>
      <c r="L149" s="35"/>
      <c r="M149" s="35">
        <f t="shared" si="75"/>
        <v>0</v>
      </c>
      <c r="N149" s="35" t="e">
        <f t="shared" si="76"/>
        <v>#DIV/0!</v>
      </c>
    </row>
    <row r="150" spans="2:14" s="10" customFormat="1" ht="30" customHeight="1" x14ac:dyDescent="0.3">
      <c r="B150" s="27">
        <v>66</v>
      </c>
      <c r="C150" s="17"/>
      <c r="D150" s="17"/>
      <c r="E150" s="17" t="s">
        <v>159</v>
      </c>
      <c r="F150" s="43">
        <f>SUM(F151,F154,F157,F160,F162)</f>
        <v>0</v>
      </c>
      <c r="G150" s="43">
        <f t="shared" ref="G150:M150" si="77">SUM(G151,G154,G157,G160,G162)</f>
        <v>0</v>
      </c>
      <c r="H150" s="43">
        <f t="shared" si="77"/>
        <v>0</v>
      </c>
      <c r="I150" s="43">
        <f t="shared" si="77"/>
        <v>0</v>
      </c>
      <c r="J150" s="43">
        <f t="shared" si="77"/>
        <v>0</v>
      </c>
      <c r="K150" s="43">
        <f t="shared" si="77"/>
        <v>0</v>
      </c>
      <c r="L150" s="43">
        <f t="shared" si="77"/>
        <v>0</v>
      </c>
      <c r="M150" s="43">
        <f t="shared" si="77"/>
        <v>0</v>
      </c>
      <c r="N150" s="43" t="e">
        <f>K150/I150</f>
        <v>#DIV/0!</v>
      </c>
    </row>
    <row r="151" spans="2:14" s="10" customFormat="1" x14ac:dyDescent="0.3">
      <c r="B151" s="27"/>
      <c r="C151" s="17">
        <v>661</v>
      </c>
      <c r="D151" s="17"/>
      <c r="E151" s="17" t="s">
        <v>291</v>
      </c>
      <c r="F151" s="43">
        <f>SUM(F152:F153)</f>
        <v>0</v>
      </c>
      <c r="G151" s="43">
        <f t="shared" ref="G151:L151" si="78">SUM(G152:G153)</f>
        <v>0</v>
      </c>
      <c r="H151" s="43">
        <f t="shared" si="78"/>
        <v>0</v>
      </c>
      <c r="I151" s="43">
        <f t="shared" si="78"/>
        <v>0</v>
      </c>
      <c r="J151" s="43">
        <f t="shared" si="78"/>
        <v>0</v>
      </c>
      <c r="K151" s="43">
        <f t="shared" si="78"/>
        <v>0</v>
      </c>
      <c r="L151" s="43">
        <f t="shared" si="78"/>
        <v>0</v>
      </c>
      <c r="M151" s="35">
        <f t="shared" ref="M151:M160" si="79">K151-L151</f>
        <v>0</v>
      </c>
      <c r="N151" s="43"/>
    </row>
    <row r="152" spans="2:14" x14ac:dyDescent="0.3">
      <c r="B152" s="27"/>
      <c r="C152" s="17"/>
      <c r="D152" s="3">
        <v>6611</v>
      </c>
      <c r="E152" s="3" t="s">
        <v>292</v>
      </c>
      <c r="F152" s="35"/>
      <c r="G152" s="35"/>
      <c r="H152" s="35"/>
      <c r="I152" s="35"/>
      <c r="J152" s="35"/>
      <c r="K152" s="35"/>
      <c r="L152" s="35"/>
      <c r="M152" s="35">
        <f t="shared" si="79"/>
        <v>0</v>
      </c>
      <c r="N152" s="35" t="e">
        <f t="shared" ref="N152:N153" si="80">K152/I152</f>
        <v>#DIV/0!</v>
      </c>
    </row>
    <row r="153" spans="2:14" x14ac:dyDescent="0.3">
      <c r="B153" s="27"/>
      <c r="C153" s="17"/>
      <c r="D153" s="3">
        <v>6618</v>
      </c>
      <c r="E153" s="3" t="s">
        <v>293</v>
      </c>
      <c r="F153" s="35"/>
      <c r="G153" s="35"/>
      <c r="H153" s="35"/>
      <c r="I153" s="35"/>
      <c r="J153" s="35"/>
      <c r="K153" s="35"/>
      <c r="L153" s="35"/>
      <c r="M153" s="35">
        <f t="shared" si="79"/>
        <v>0</v>
      </c>
      <c r="N153" s="35" t="e">
        <f t="shared" si="80"/>
        <v>#DIV/0!</v>
      </c>
    </row>
    <row r="154" spans="2:14" s="10" customFormat="1" x14ac:dyDescent="0.3">
      <c r="B154" s="27"/>
      <c r="C154" s="17">
        <v>662</v>
      </c>
      <c r="D154" s="17"/>
      <c r="E154" s="17" t="s">
        <v>294</v>
      </c>
      <c r="F154" s="43">
        <f>SUM(F155:F156)</f>
        <v>0</v>
      </c>
      <c r="G154" s="43">
        <f t="shared" ref="G154:L154" si="81">SUM(G155:G156)</f>
        <v>0</v>
      </c>
      <c r="H154" s="43">
        <f t="shared" si="81"/>
        <v>0</v>
      </c>
      <c r="I154" s="43">
        <f t="shared" si="81"/>
        <v>0</v>
      </c>
      <c r="J154" s="43">
        <f t="shared" si="81"/>
        <v>0</v>
      </c>
      <c r="K154" s="43">
        <f t="shared" si="81"/>
        <v>0</v>
      </c>
      <c r="L154" s="43">
        <f t="shared" si="81"/>
        <v>0</v>
      </c>
      <c r="M154" s="35">
        <f t="shared" si="79"/>
        <v>0</v>
      </c>
      <c r="N154" s="43"/>
    </row>
    <row r="155" spans="2:14" x14ac:dyDescent="0.3">
      <c r="B155" s="27"/>
      <c r="C155" s="17"/>
      <c r="D155" s="3">
        <v>6621</v>
      </c>
      <c r="E155" s="3" t="s">
        <v>294</v>
      </c>
      <c r="F155" s="35"/>
      <c r="G155" s="35"/>
      <c r="H155" s="35"/>
      <c r="I155" s="35"/>
      <c r="J155" s="35"/>
      <c r="K155" s="35"/>
      <c r="L155" s="35"/>
      <c r="M155" s="35">
        <f t="shared" si="79"/>
        <v>0</v>
      </c>
      <c r="N155" s="35" t="e">
        <f t="shared" ref="N155:N156" si="82">K155/I155</f>
        <v>#DIV/0!</v>
      </c>
    </row>
    <row r="156" spans="2:14" x14ac:dyDescent="0.3">
      <c r="B156" s="27"/>
      <c r="C156" s="17"/>
      <c r="D156" s="3">
        <v>6622</v>
      </c>
      <c r="E156" s="3" t="s">
        <v>295</v>
      </c>
      <c r="F156" s="35"/>
      <c r="G156" s="35"/>
      <c r="H156" s="35"/>
      <c r="I156" s="35"/>
      <c r="J156" s="35"/>
      <c r="K156" s="35"/>
      <c r="L156" s="35"/>
      <c r="M156" s="35">
        <f t="shared" si="79"/>
        <v>0</v>
      </c>
      <c r="N156" s="35" t="e">
        <f t="shared" si="82"/>
        <v>#DIV/0!</v>
      </c>
    </row>
    <row r="157" spans="2:14" s="10" customFormat="1" x14ac:dyDescent="0.3">
      <c r="B157" s="27"/>
      <c r="C157" s="17">
        <v>663</v>
      </c>
      <c r="D157" s="17"/>
      <c r="E157" s="17" t="s">
        <v>296</v>
      </c>
      <c r="F157" s="43">
        <f>SUM(F158:F159)</f>
        <v>0</v>
      </c>
      <c r="G157" s="43">
        <f t="shared" ref="G157:L157" si="83">SUM(G158:G159)</f>
        <v>0</v>
      </c>
      <c r="H157" s="43">
        <f t="shared" si="83"/>
        <v>0</v>
      </c>
      <c r="I157" s="43">
        <f t="shared" si="83"/>
        <v>0</v>
      </c>
      <c r="J157" s="43">
        <f t="shared" si="83"/>
        <v>0</v>
      </c>
      <c r="K157" s="43">
        <f t="shared" si="83"/>
        <v>0</v>
      </c>
      <c r="L157" s="43">
        <f t="shared" si="83"/>
        <v>0</v>
      </c>
      <c r="M157" s="35">
        <f t="shared" si="79"/>
        <v>0</v>
      </c>
      <c r="N157" s="43"/>
    </row>
    <row r="158" spans="2:14" x14ac:dyDescent="0.3">
      <c r="B158" s="27"/>
      <c r="C158" s="17"/>
      <c r="D158" s="3">
        <v>6631</v>
      </c>
      <c r="E158" s="3" t="s">
        <v>297</v>
      </c>
      <c r="F158" s="35"/>
      <c r="G158" s="35"/>
      <c r="H158" s="35"/>
      <c r="I158" s="35"/>
      <c r="J158" s="35"/>
      <c r="K158" s="35"/>
      <c r="L158" s="35"/>
      <c r="M158" s="35">
        <f t="shared" si="79"/>
        <v>0</v>
      </c>
      <c r="N158" s="35" t="e">
        <f t="shared" ref="N158:N159" si="84">K158/I158</f>
        <v>#DIV/0!</v>
      </c>
    </row>
    <row r="159" spans="2:14" x14ac:dyDescent="0.3">
      <c r="B159" s="27"/>
      <c r="C159" s="17"/>
      <c r="D159" s="3">
        <v>6632</v>
      </c>
      <c r="E159" s="3" t="s">
        <v>298</v>
      </c>
      <c r="F159" s="35"/>
      <c r="G159" s="35"/>
      <c r="H159" s="35"/>
      <c r="I159" s="35"/>
      <c r="J159" s="35"/>
      <c r="K159" s="35"/>
      <c r="L159" s="35"/>
      <c r="M159" s="35">
        <f t="shared" si="79"/>
        <v>0</v>
      </c>
      <c r="N159" s="35" t="e">
        <f t="shared" si="84"/>
        <v>#DIV/0!</v>
      </c>
    </row>
    <row r="160" spans="2:14" s="10" customFormat="1" x14ac:dyDescent="0.3">
      <c r="B160" s="27"/>
      <c r="C160" s="17">
        <v>666</v>
      </c>
      <c r="D160" s="17"/>
      <c r="E160" s="17" t="s">
        <v>299</v>
      </c>
      <c r="F160" s="43">
        <f>SUM(F161)</f>
        <v>0</v>
      </c>
      <c r="G160" s="43">
        <f t="shared" ref="G160:L160" si="85">SUM(G161)</f>
        <v>0</v>
      </c>
      <c r="H160" s="43">
        <f t="shared" si="85"/>
        <v>0</v>
      </c>
      <c r="I160" s="43">
        <f t="shared" si="85"/>
        <v>0</v>
      </c>
      <c r="J160" s="43">
        <f t="shared" si="85"/>
        <v>0</v>
      </c>
      <c r="K160" s="43">
        <f t="shared" si="85"/>
        <v>0</v>
      </c>
      <c r="L160" s="43">
        <f t="shared" si="85"/>
        <v>0</v>
      </c>
      <c r="M160" s="35">
        <f t="shared" si="79"/>
        <v>0</v>
      </c>
      <c r="N160" s="43"/>
    </row>
    <row r="161" spans="2:14" x14ac:dyDescent="0.3">
      <c r="B161" s="27"/>
      <c r="C161" s="17"/>
      <c r="D161" s="3">
        <v>6660</v>
      </c>
      <c r="E161" s="3" t="s">
        <v>300</v>
      </c>
      <c r="F161" s="35"/>
      <c r="G161" s="35"/>
      <c r="H161" s="35"/>
      <c r="I161" s="35"/>
      <c r="J161" s="35"/>
      <c r="K161" s="35"/>
      <c r="L161" s="35"/>
      <c r="M161" s="35">
        <f>K161-L161</f>
        <v>0</v>
      </c>
      <c r="N161" s="35" t="e">
        <f t="shared" ref="N161" si="86">K161/I161</f>
        <v>#DIV/0!</v>
      </c>
    </row>
    <row r="162" spans="2:14" s="10" customFormat="1" x14ac:dyDescent="0.3">
      <c r="B162" s="27"/>
      <c r="C162" s="17">
        <v>668</v>
      </c>
      <c r="D162" s="17"/>
      <c r="E162" s="17" t="s">
        <v>301</v>
      </c>
      <c r="F162" s="43">
        <f>SUM(F163:F164)</f>
        <v>0</v>
      </c>
      <c r="G162" s="43">
        <f t="shared" ref="G162:L162" si="87">SUM(G163:G164)</f>
        <v>0</v>
      </c>
      <c r="H162" s="43">
        <f t="shared" si="87"/>
        <v>0</v>
      </c>
      <c r="I162" s="43">
        <f t="shared" si="87"/>
        <v>0</v>
      </c>
      <c r="J162" s="43">
        <f t="shared" si="87"/>
        <v>0</v>
      </c>
      <c r="K162" s="43">
        <f t="shared" si="87"/>
        <v>0</v>
      </c>
      <c r="L162" s="43">
        <f t="shared" si="87"/>
        <v>0</v>
      </c>
      <c r="M162" s="35">
        <f t="shared" ref="M162:M164" si="88">K162-L162</f>
        <v>0</v>
      </c>
      <c r="N162" s="43"/>
    </row>
    <row r="163" spans="2:14" x14ac:dyDescent="0.3">
      <c r="B163" s="27"/>
      <c r="C163" s="17"/>
      <c r="D163" s="3">
        <v>6681</v>
      </c>
      <c r="E163" s="3" t="s">
        <v>302</v>
      </c>
      <c r="F163" s="35"/>
      <c r="G163" s="35"/>
      <c r="H163" s="35"/>
      <c r="I163" s="35"/>
      <c r="J163" s="35"/>
      <c r="K163" s="35"/>
      <c r="L163" s="35"/>
      <c r="M163" s="35">
        <f t="shared" si="88"/>
        <v>0</v>
      </c>
      <c r="N163" s="35" t="e">
        <f t="shared" ref="N163:N164" si="89">K163/I163</f>
        <v>#DIV/0!</v>
      </c>
    </row>
    <row r="164" spans="2:14" x14ac:dyDescent="0.3">
      <c r="B164" s="27"/>
      <c r="C164" s="17"/>
      <c r="D164" s="3">
        <v>6688</v>
      </c>
      <c r="E164" s="3" t="s">
        <v>301</v>
      </c>
      <c r="F164" s="35"/>
      <c r="G164" s="35"/>
      <c r="H164" s="35"/>
      <c r="I164" s="35"/>
      <c r="J164" s="35"/>
      <c r="K164" s="35"/>
      <c r="L164" s="35"/>
      <c r="M164" s="35">
        <f t="shared" si="88"/>
        <v>0</v>
      </c>
      <c r="N164" s="35" t="e">
        <f t="shared" si="89"/>
        <v>#DIV/0!</v>
      </c>
    </row>
    <row r="165" spans="2:14" s="10" customFormat="1" ht="30" customHeight="1" x14ac:dyDescent="0.3">
      <c r="B165" s="27">
        <v>67</v>
      </c>
      <c r="C165" s="17"/>
      <c r="D165" s="17"/>
      <c r="E165" s="17" t="s">
        <v>160</v>
      </c>
      <c r="F165" s="43">
        <f>SUM(F166,F172,F174,F176,F179,F183)</f>
        <v>0</v>
      </c>
      <c r="G165" s="43">
        <f t="shared" ref="G165:M165" si="90">SUM(G166,G172,G174,G176,G179,G183)</f>
        <v>0</v>
      </c>
      <c r="H165" s="43">
        <f t="shared" si="90"/>
        <v>0</v>
      </c>
      <c r="I165" s="43">
        <f t="shared" si="90"/>
        <v>0</v>
      </c>
      <c r="J165" s="43">
        <f t="shared" si="90"/>
        <v>0</v>
      </c>
      <c r="K165" s="43">
        <f t="shared" si="90"/>
        <v>0</v>
      </c>
      <c r="L165" s="43">
        <f t="shared" si="90"/>
        <v>0</v>
      </c>
      <c r="M165" s="43">
        <f t="shared" si="90"/>
        <v>0</v>
      </c>
      <c r="N165" s="43" t="e">
        <f>K165/I165</f>
        <v>#DIV/0!</v>
      </c>
    </row>
    <row r="166" spans="2:14" s="10" customFormat="1" x14ac:dyDescent="0.3">
      <c r="B166" s="27"/>
      <c r="C166" s="17">
        <v>671</v>
      </c>
      <c r="D166" s="17"/>
      <c r="E166" s="17" t="s">
        <v>303</v>
      </c>
      <c r="F166" s="43">
        <f>SUM(F167:F171)</f>
        <v>0</v>
      </c>
      <c r="G166" s="43">
        <f t="shared" ref="G166:L166" si="91">SUM(G167:G171)</f>
        <v>0</v>
      </c>
      <c r="H166" s="43">
        <f t="shared" si="91"/>
        <v>0</v>
      </c>
      <c r="I166" s="43">
        <f t="shared" si="91"/>
        <v>0</v>
      </c>
      <c r="J166" s="43">
        <f t="shared" si="91"/>
        <v>0</v>
      </c>
      <c r="K166" s="43">
        <f t="shared" si="91"/>
        <v>0</v>
      </c>
      <c r="L166" s="43">
        <f t="shared" si="91"/>
        <v>0</v>
      </c>
      <c r="M166" s="35">
        <f t="shared" ref="M166:M186" si="92">K166-L166</f>
        <v>0</v>
      </c>
      <c r="N166" s="43"/>
    </row>
    <row r="167" spans="2:14" x14ac:dyDescent="0.3">
      <c r="B167" s="27"/>
      <c r="C167" s="17"/>
      <c r="D167" s="3">
        <v>6711</v>
      </c>
      <c r="E167" s="3" t="s">
        <v>304</v>
      </c>
      <c r="F167" s="35"/>
      <c r="G167" s="35"/>
      <c r="H167" s="35"/>
      <c r="I167" s="35"/>
      <c r="J167" s="35"/>
      <c r="K167" s="35"/>
      <c r="L167" s="35"/>
      <c r="M167" s="35">
        <f t="shared" si="92"/>
        <v>0</v>
      </c>
      <c r="N167" s="35" t="e">
        <f t="shared" ref="N167:N171" si="93">K167/I167</f>
        <v>#DIV/0!</v>
      </c>
    </row>
    <row r="168" spans="2:14" x14ac:dyDescent="0.3">
      <c r="B168" s="27"/>
      <c r="C168" s="17"/>
      <c r="D168" s="3">
        <v>6712</v>
      </c>
      <c r="E168" s="3" t="s">
        <v>305</v>
      </c>
      <c r="F168" s="35"/>
      <c r="G168" s="35"/>
      <c r="H168" s="35"/>
      <c r="I168" s="35"/>
      <c r="J168" s="35"/>
      <c r="K168" s="35"/>
      <c r="L168" s="35"/>
      <c r="M168" s="35">
        <f t="shared" si="92"/>
        <v>0</v>
      </c>
      <c r="N168" s="35" t="e">
        <f t="shared" si="93"/>
        <v>#DIV/0!</v>
      </c>
    </row>
    <row r="169" spans="2:14" x14ac:dyDescent="0.3">
      <c r="B169" s="27"/>
      <c r="C169" s="17"/>
      <c r="D169" s="3">
        <v>6713</v>
      </c>
      <c r="E169" s="3" t="s">
        <v>306</v>
      </c>
      <c r="F169" s="35"/>
      <c r="G169" s="35"/>
      <c r="H169" s="35"/>
      <c r="I169" s="35"/>
      <c r="J169" s="35"/>
      <c r="K169" s="35"/>
      <c r="L169" s="35"/>
      <c r="M169" s="35">
        <f t="shared" si="92"/>
        <v>0</v>
      </c>
      <c r="N169" s="35" t="e">
        <f t="shared" si="93"/>
        <v>#DIV/0!</v>
      </c>
    </row>
    <row r="170" spans="2:14" x14ac:dyDescent="0.3">
      <c r="B170" s="27"/>
      <c r="C170" s="17"/>
      <c r="D170" s="3">
        <v>6714</v>
      </c>
      <c r="E170" s="3" t="s">
        <v>307</v>
      </c>
      <c r="F170" s="35"/>
      <c r="G170" s="35"/>
      <c r="H170" s="35"/>
      <c r="I170" s="35"/>
      <c r="J170" s="35"/>
      <c r="K170" s="35"/>
      <c r="L170" s="35"/>
      <c r="M170" s="35">
        <f t="shared" si="92"/>
        <v>0</v>
      </c>
      <c r="N170" s="35" t="e">
        <f t="shared" si="93"/>
        <v>#DIV/0!</v>
      </c>
    </row>
    <row r="171" spans="2:14" x14ac:dyDescent="0.3">
      <c r="B171" s="27"/>
      <c r="C171" s="17"/>
      <c r="D171" s="3">
        <v>6718</v>
      </c>
      <c r="E171" s="3" t="s">
        <v>95</v>
      </c>
      <c r="F171" s="35"/>
      <c r="G171" s="35"/>
      <c r="H171" s="35"/>
      <c r="I171" s="35"/>
      <c r="J171" s="35"/>
      <c r="K171" s="35"/>
      <c r="L171" s="35"/>
      <c r="M171" s="35">
        <f t="shared" si="92"/>
        <v>0</v>
      </c>
      <c r="N171" s="35" t="e">
        <f t="shared" si="93"/>
        <v>#DIV/0!</v>
      </c>
    </row>
    <row r="172" spans="2:14" s="10" customFormat="1" x14ac:dyDescent="0.3">
      <c r="B172" s="27"/>
      <c r="C172" s="17">
        <v>672</v>
      </c>
      <c r="D172" s="17"/>
      <c r="E172" s="17" t="s">
        <v>308</v>
      </c>
      <c r="F172" s="43">
        <f>SUM(F173)</f>
        <v>0</v>
      </c>
      <c r="G172" s="43">
        <f t="shared" ref="G172:L172" si="94">SUM(G173)</f>
        <v>0</v>
      </c>
      <c r="H172" s="43">
        <f t="shared" si="94"/>
        <v>0</v>
      </c>
      <c r="I172" s="43">
        <f t="shared" si="94"/>
        <v>0</v>
      </c>
      <c r="J172" s="43">
        <f t="shared" si="94"/>
        <v>0</v>
      </c>
      <c r="K172" s="43">
        <f t="shared" si="94"/>
        <v>0</v>
      </c>
      <c r="L172" s="43">
        <f t="shared" si="94"/>
        <v>0</v>
      </c>
      <c r="M172" s="35">
        <f t="shared" si="92"/>
        <v>0</v>
      </c>
      <c r="N172" s="43"/>
    </row>
    <row r="173" spans="2:14" x14ac:dyDescent="0.3">
      <c r="B173" s="27"/>
      <c r="C173" s="17"/>
      <c r="D173" s="3">
        <v>6720</v>
      </c>
      <c r="E173" s="3" t="s">
        <v>319</v>
      </c>
      <c r="F173" s="35"/>
      <c r="G173" s="35"/>
      <c r="H173" s="35"/>
      <c r="I173" s="35"/>
      <c r="J173" s="35"/>
      <c r="K173" s="35"/>
      <c r="L173" s="35"/>
      <c r="M173" s="35">
        <f>K173-L173</f>
        <v>0</v>
      </c>
      <c r="N173" s="35" t="e">
        <f t="shared" ref="N173" si="95">K173/I173</f>
        <v>#DIV/0!</v>
      </c>
    </row>
    <row r="174" spans="2:14" s="10" customFormat="1" x14ac:dyDescent="0.3">
      <c r="B174" s="27"/>
      <c r="C174" s="17">
        <v>673</v>
      </c>
      <c r="D174" s="17"/>
      <c r="E174" s="17" t="s">
        <v>309</v>
      </c>
      <c r="F174" s="43">
        <f>SUM(F175)</f>
        <v>0</v>
      </c>
      <c r="G174" s="43">
        <f t="shared" ref="G174:L174" si="96">SUM(G175)</f>
        <v>0</v>
      </c>
      <c r="H174" s="43">
        <f t="shared" si="96"/>
        <v>0</v>
      </c>
      <c r="I174" s="43">
        <f t="shared" si="96"/>
        <v>0</v>
      </c>
      <c r="J174" s="43">
        <f t="shared" si="96"/>
        <v>0</v>
      </c>
      <c r="K174" s="43">
        <f t="shared" si="96"/>
        <v>0</v>
      </c>
      <c r="L174" s="43">
        <f t="shared" si="96"/>
        <v>0</v>
      </c>
      <c r="M174" s="35">
        <f t="shared" si="92"/>
        <v>0</v>
      </c>
      <c r="N174" s="43"/>
    </row>
    <row r="175" spans="2:14" x14ac:dyDescent="0.3">
      <c r="B175" s="27"/>
      <c r="C175" s="17"/>
      <c r="D175" s="3">
        <v>6730</v>
      </c>
      <c r="E175" s="3" t="s">
        <v>309</v>
      </c>
      <c r="F175" s="35"/>
      <c r="G175" s="35"/>
      <c r="H175" s="35"/>
      <c r="I175" s="35"/>
      <c r="J175" s="35"/>
      <c r="K175" s="35"/>
      <c r="L175" s="35"/>
      <c r="M175" s="35">
        <f>K175-L175</f>
        <v>0</v>
      </c>
      <c r="N175" s="35" t="e">
        <f t="shared" ref="N175" si="97">K175/I175</f>
        <v>#DIV/0!</v>
      </c>
    </row>
    <row r="176" spans="2:14" s="10" customFormat="1" x14ac:dyDescent="0.3">
      <c r="B176" s="27"/>
      <c r="C176" s="17">
        <v>674</v>
      </c>
      <c r="D176" s="17"/>
      <c r="E176" s="17" t="s">
        <v>310</v>
      </c>
      <c r="F176" s="43">
        <f>SUM(F177:F178)</f>
        <v>0</v>
      </c>
      <c r="G176" s="43">
        <f t="shared" ref="G176:L176" si="98">SUM(G177:G178)</f>
        <v>0</v>
      </c>
      <c r="H176" s="43">
        <f t="shared" si="98"/>
        <v>0</v>
      </c>
      <c r="I176" s="43">
        <f t="shared" si="98"/>
        <v>0</v>
      </c>
      <c r="J176" s="43">
        <f t="shared" si="98"/>
        <v>0</v>
      </c>
      <c r="K176" s="43">
        <f t="shared" si="98"/>
        <v>0</v>
      </c>
      <c r="L176" s="43">
        <f t="shared" si="98"/>
        <v>0</v>
      </c>
      <c r="M176" s="35">
        <f t="shared" si="92"/>
        <v>0</v>
      </c>
      <c r="N176" s="43"/>
    </row>
    <row r="177" spans="2:14" x14ac:dyDescent="0.3">
      <c r="B177" s="27"/>
      <c r="C177" s="17"/>
      <c r="D177" s="3">
        <v>6741</v>
      </c>
      <c r="E177" s="3" t="s">
        <v>311</v>
      </c>
      <c r="F177" s="35"/>
      <c r="G177" s="35"/>
      <c r="H177" s="35"/>
      <c r="I177" s="35"/>
      <c r="J177" s="35"/>
      <c r="K177" s="35"/>
      <c r="L177" s="35"/>
      <c r="M177" s="35">
        <f t="shared" si="92"/>
        <v>0</v>
      </c>
      <c r="N177" s="35" t="e">
        <f t="shared" ref="N177:N178" si="99">K177/I177</f>
        <v>#DIV/0!</v>
      </c>
    </row>
    <row r="178" spans="2:14" x14ac:dyDescent="0.3">
      <c r="B178" s="27"/>
      <c r="C178" s="17"/>
      <c r="D178" s="3">
        <v>6742</v>
      </c>
      <c r="E178" s="3" t="s">
        <v>312</v>
      </c>
      <c r="F178" s="35"/>
      <c r="G178" s="35"/>
      <c r="H178" s="35"/>
      <c r="I178" s="35"/>
      <c r="J178" s="35"/>
      <c r="K178" s="35"/>
      <c r="L178" s="35"/>
      <c r="M178" s="35">
        <f t="shared" si="92"/>
        <v>0</v>
      </c>
      <c r="N178" s="35" t="e">
        <f t="shared" si="99"/>
        <v>#DIV/0!</v>
      </c>
    </row>
    <row r="179" spans="2:14" s="10" customFormat="1" x14ac:dyDescent="0.3">
      <c r="B179" s="27"/>
      <c r="C179" s="17">
        <v>675</v>
      </c>
      <c r="D179" s="17"/>
      <c r="E179" s="17" t="s">
        <v>313</v>
      </c>
      <c r="F179" s="43">
        <f>SUM(F180:F182)</f>
        <v>0</v>
      </c>
      <c r="G179" s="43">
        <f t="shared" ref="G179:L179" si="100">SUM(G180:G182)</f>
        <v>0</v>
      </c>
      <c r="H179" s="43">
        <f t="shared" si="100"/>
        <v>0</v>
      </c>
      <c r="I179" s="43">
        <f t="shared" si="100"/>
        <v>0</v>
      </c>
      <c r="J179" s="43">
        <f t="shared" si="100"/>
        <v>0</v>
      </c>
      <c r="K179" s="43">
        <f t="shared" si="100"/>
        <v>0</v>
      </c>
      <c r="L179" s="43">
        <f t="shared" si="100"/>
        <v>0</v>
      </c>
      <c r="M179" s="35">
        <f t="shared" si="92"/>
        <v>0</v>
      </c>
      <c r="N179" s="43"/>
    </row>
    <row r="180" spans="2:14" x14ac:dyDescent="0.3">
      <c r="B180" s="27"/>
      <c r="C180" s="17"/>
      <c r="D180" s="3">
        <v>6751</v>
      </c>
      <c r="E180" s="3" t="s">
        <v>313</v>
      </c>
      <c r="F180" s="35"/>
      <c r="G180" s="35"/>
      <c r="H180" s="35"/>
      <c r="I180" s="35"/>
      <c r="J180" s="35"/>
      <c r="K180" s="35"/>
      <c r="L180" s="35"/>
      <c r="M180" s="35">
        <f t="shared" si="92"/>
        <v>0</v>
      </c>
      <c r="N180" s="35" t="e">
        <f t="shared" ref="N180:N182" si="101">K180/I180</f>
        <v>#DIV/0!</v>
      </c>
    </row>
    <row r="181" spans="2:14" x14ac:dyDescent="0.3">
      <c r="B181" s="27"/>
      <c r="C181" s="17"/>
      <c r="D181" s="3">
        <v>6752</v>
      </c>
      <c r="E181" s="3" t="s">
        <v>314</v>
      </c>
      <c r="F181" s="35"/>
      <c r="G181" s="35"/>
      <c r="H181" s="35"/>
      <c r="I181" s="35"/>
      <c r="J181" s="35"/>
      <c r="K181" s="35"/>
      <c r="L181" s="35"/>
      <c r="M181" s="35">
        <f t="shared" si="92"/>
        <v>0</v>
      </c>
      <c r="N181" s="35" t="e">
        <f t="shared" si="101"/>
        <v>#DIV/0!</v>
      </c>
    </row>
    <row r="182" spans="2:14" x14ac:dyDescent="0.3">
      <c r="B182" s="27"/>
      <c r="C182" s="17"/>
      <c r="D182" s="3">
        <v>6753</v>
      </c>
      <c r="E182" s="3" t="s">
        <v>315</v>
      </c>
      <c r="F182" s="35"/>
      <c r="G182" s="35"/>
      <c r="H182" s="35"/>
      <c r="I182" s="35"/>
      <c r="J182" s="35"/>
      <c r="K182" s="35"/>
      <c r="L182" s="35"/>
      <c r="M182" s="35">
        <f t="shared" si="92"/>
        <v>0</v>
      </c>
      <c r="N182" s="35" t="e">
        <f t="shared" si="101"/>
        <v>#DIV/0!</v>
      </c>
    </row>
    <row r="183" spans="2:14" s="10" customFormat="1" x14ac:dyDescent="0.3">
      <c r="B183" s="27"/>
      <c r="C183" s="17">
        <v>678</v>
      </c>
      <c r="D183" s="17"/>
      <c r="E183" s="17" t="s">
        <v>316</v>
      </c>
      <c r="F183" s="43">
        <f>SUM(F184:F186)</f>
        <v>0</v>
      </c>
      <c r="G183" s="43">
        <f t="shared" ref="G183:L183" si="102">SUM(G184:G186)</f>
        <v>0</v>
      </c>
      <c r="H183" s="43">
        <f t="shared" si="102"/>
        <v>0</v>
      </c>
      <c r="I183" s="43">
        <f t="shared" si="102"/>
        <v>0</v>
      </c>
      <c r="J183" s="43">
        <f t="shared" si="102"/>
        <v>0</v>
      </c>
      <c r="K183" s="43">
        <f t="shared" si="102"/>
        <v>0</v>
      </c>
      <c r="L183" s="43">
        <f t="shared" si="102"/>
        <v>0</v>
      </c>
      <c r="M183" s="35">
        <f t="shared" si="92"/>
        <v>0</v>
      </c>
      <c r="N183" s="43"/>
    </row>
    <row r="184" spans="2:14" x14ac:dyDescent="0.3">
      <c r="B184" s="27"/>
      <c r="C184" s="17"/>
      <c r="D184" s="3">
        <v>6781</v>
      </c>
      <c r="E184" s="3" t="s">
        <v>317</v>
      </c>
      <c r="F184" s="35"/>
      <c r="G184" s="35"/>
      <c r="H184" s="35"/>
      <c r="I184" s="35"/>
      <c r="J184" s="35"/>
      <c r="K184" s="35"/>
      <c r="L184" s="35"/>
      <c r="M184" s="35">
        <f t="shared" si="92"/>
        <v>0</v>
      </c>
      <c r="N184" s="35" t="e">
        <f t="shared" ref="N184:N186" si="103">K184/I184</f>
        <v>#DIV/0!</v>
      </c>
    </row>
    <row r="185" spans="2:14" x14ac:dyDescent="0.3">
      <c r="B185" s="27"/>
      <c r="C185" s="17"/>
      <c r="D185" s="3">
        <v>6782</v>
      </c>
      <c r="E185" s="3" t="s">
        <v>318</v>
      </c>
      <c r="F185" s="35"/>
      <c r="G185" s="35"/>
      <c r="H185" s="35"/>
      <c r="I185" s="35"/>
      <c r="J185" s="35"/>
      <c r="K185" s="35"/>
      <c r="L185" s="35"/>
      <c r="M185" s="35">
        <f t="shared" si="92"/>
        <v>0</v>
      </c>
      <c r="N185" s="35" t="e">
        <f t="shared" si="103"/>
        <v>#DIV/0!</v>
      </c>
    </row>
    <row r="186" spans="2:14" x14ac:dyDescent="0.3">
      <c r="B186" s="27"/>
      <c r="C186" s="17"/>
      <c r="D186" s="3">
        <v>6788</v>
      </c>
      <c r="E186" s="3" t="s">
        <v>95</v>
      </c>
      <c r="F186" s="35"/>
      <c r="G186" s="35"/>
      <c r="H186" s="35"/>
      <c r="I186" s="35"/>
      <c r="J186" s="35"/>
      <c r="K186" s="35"/>
      <c r="L186" s="35"/>
      <c r="M186" s="35">
        <f t="shared" si="92"/>
        <v>0</v>
      </c>
      <c r="N186" s="35" t="e">
        <f t="shared" si="103"/>
        <v>#DIV/0!</v>
      </c>
    </row>
    <row r="187" spans="2:14" s="10" customFormat="1" ht="30" customHeight="1" x14ac:dyDescent="0.3">
      <c r="B187" s="29"/>
      <c r="C187" s="2"/>
      <c r="D187" s="2"/>
      <c r="E187" s="2" t="s">
        <v>162</v>
      </c>
      <c r="F187" s="38">
        <f>F10+F29+F60+F112+F121+F132+F150+F165</f>
        <v>0</v>
      </c>
      <c r="G187" s="38">
        <f t="shared" ref="G187:M187" si="104">G10+G29+G60+G112+G121+G132+G150+G165</f>
        <v>0</v>
      </c>
      <c r="H187" s="38">
        <f t="shared" si="104"/>
        <v>0</v>
      </c>
      <c r="I187" s="38">
        <f t="shared" si="104"/>
        <v>0</v>
      </c>
      <c r="J187" s="38">
        <f t="shared" si="104"/>
        <v>0</v>
      </c>
      <c r="K187" s="38">
        <f t="shared" si="104"/>
        <v>0</v>
      </c>
      <c r="L187" s="38">
        <f t="shared" si="104"/>
        <v>0</v>
      </c>
      <c r="M187" s="38">
        <f t="shared" si="104"/>
        <v>0</v>
      </c>
      <c r="N187" s="43" t="e">
        <f>K187/I187</f>
        <v>#DIV/0!</v>
      </c>
    </row>
    <row r="188" spans="2:14" s="10" customFormat="1" ht="30" customHeight="1" x14ac:dyDescent="0.3">
      <c r="B188" s="27">
        <v>12</v>
      </c>
      <c r="C188" s="17"/>
      <c r="D188" s="17"/>
      <c r="E188" s="17" t="s">
        <v>161</v>
      </c>
      <c r="F188" s="43"/>
      <c r="G188" s="43"/>
      <c r="H188" s="43"/>
      <c r="I188" s="43"/>
      <c r="J188" s="43"/>
      <c r="K188" s="43"/>
      <c r="L188" s="43"/>
      <c r="M188" s="43">
        <f>K188-L188</f>
        <v>0</v>
      </c>
      <c r="N188" s="43"/>
    </row>
    <row r="189" spans="2:14" s="10" customFormat="1" ht="30" customHeight="1" x14ac:dyDescent="0.3">
      <c r="B189" s="29"/>
      <c r="C189" s="2"/>
      <c r="D189" s="2"/>
      <c r="E189" s="2" t="s">
        <v>163</v>
      </c>
      <c r="F189" s="38">
        <f>SUM(F188)</f>
        <v>0</v>
      </c>
      <c r="G189" s="38">
        <f t="shared" ref="G189:M189" si="105">SUM(G188)</f>
        <v>0</v>
      </c>
      <c r="H189" s="38">
        <f t="shared" si="105"/>
        <v>0</v>
      </c>
      <c r="I189" s="38">
        <f t="shared" si="105"/>
        <v>0</v>
      </c>
      <c r="J189" s="38">
        <f t="shared" si="105"/>
        <v>0</v>
      </c>
      <c r="K189" s="38">
        <f t="shared" si="105"/>
        <v>0</v>
      </c>
      <c r="L189" s="38">
        <f t="shared" si="105"/>
        <v>0</v>
      </c>
      <c r="M189" s="38">
        <f t="shared" si="105"/>
        <v>0</v>
      </c>
      <c r="N189" s="43" t="e">
        <f>K189/I189</f>
        <v>#DIV/0!</v>
      </c>
    </row>
    <row r="190" spans="2:14" s="10" customFormat="1" ht="30" customHeight="1" x14ac:dyDescent="0.3">
      <c r="B190" s="29"/>
      <c r="C190" s="2"/>
      <c r="D190" s="2"/>
      <c r="E190" s="2" t="s">
        <v>98</v>
      </c>
      <c r="F190" s="38">
        <f>F187+F189</f>
        <v>0</v>
      </c>
      <c r="G190" s="38">
        <f t="shared" ref="G190:M190" si="106">G187+G189</f>
        <v>0</v>
      </c>
      <c r="H190" s="38">
        <f t="shared" si="106"/>
        <v>0</v>
      </c>
      <c r="I190" s="38">
        <f t="shared" si="106"/>
        <v>0</v>
      </c>
      <c r="J190" s="38">
        <f t="shared" si="106"/>
        <v>0</v>
      </c>
      <c r="K190" s="38">
        <f t="shared" si="106"/>
        <v>0</v>
      </c>
      <c r="L190" s="38">
        <f t="shared" si="106"/>
        <v>0</v>
      </c>
      <c r="M190" s="38">
        <f t="shared" si="106"/>
        <v>0</v>
      </c>
      <c r="N190" s="43" t="e">
        <f>K190/I190</f>
        <v>#DIV/0!</v>
      </c>
    </row>
    <row r="192" spans="2:14" ht="28.95" customHeight="1" x14ac:dyDescent="0.3">
      <c r="B192" s="71" t="s">
        <v>165</v>
      </c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</row>
    <row r="193" spans="2:14" s="11" customFormat="1" ht="28.8" x14ac:dyDescent="0.3">
      <c r="B193" s="26" t="s">
        <v>138</v>
      </c>
      <c r="C193" s="46"/>
      <c r="D193" s="49"/>
      <c r="E193" s="47" t="s">
        <v>150</v>
      </c>
      <c r="F193" s="41" t="s">
        <v>139</v>
      </c>
      <c r="G193" s="41" t="s">
        <v>140</v>
      </c>
      <c r="H193" s="41" t="s">
        <v>141</v>
      </c>
      <c r="I193" s="41" t="s">
        <v>142</v>
      </c>
      <c r="J193" s="41" t="s">
        <v>171</v>
      </c>
      <c r="K193" s="41" t="s">
        <v>172</v>
      </c>
      <c r="L193" s="41" t="s">
        <v>173</v>
      </c>
      <c r="M193" s="41" t="s">
        <v>174</v>
      </c>
      <c r="N193" s="41" t="s">
        <v>396</v>
      </c>
    </row>
    <row r="194" spans="2:14" s="10" customFormat="1" ht="30" customHeight="1" x14ac:dyDescent="0.3">
      <c r="B194" s="27">
        <v>16</v>
      </c>
      <c r="C194" s="17"/>
      <c r="D194" s="17"/>
      <c r="E194" s="17" t="s">
        <v>166</v>
      </c>
      <c r="F194" s="43">
        <f>SUM(F195,F198,F201,F203,F205)</f>
        <v>0</v>
      </c>
      <c r="G194" s="43">
        <f t="shared" ref="G194:M194" si="107">SUM(G195,G198,G201,G203,G205)</f>
        <v>0</v>
      </c>
      <c r="H194" s="43">
        <f t="shared" si="107"/>
        <v>0</v>
      </c>
      <c r="I194" s="43">
        <f t="shared" si="107"/>
        <v>0</v>
      </c>
      <c r="J194" s="43">
        <f t="shared" si="107"/>
        <v>0</v>
      </c>
      <c r="K194" s="43">
        <f t="shared" si="107"/>
        <v>0</v>
      </c>
      <c r="L194" s="43">
        <f t="shared" si="107"/>
        <v>0</v>
      </c>
      <c r="M194" s="43">
        <f t="shared" si="107"/>
        <v>0</v>
      </c>
      <c r="N194" s="43" t="e">
        <f>K194/I194</f>
        <v>#DIV/0!</v>
      </c>
    </row>
    <row r="195" spans="2:14" s="10" customFormat="1" x14ac:dyDescent="0.3">
      <c r="B195" s="27"/>
      <c r="C195" s="17">
        <v>161</v>
      </c>
      <c r="D195" s="17"/>
      <c r="E195" s="17" t="s">
        <v>320</v>
      </c>
      <c r="F195" s="43">
        <f>SUM(F196:F197)</f>
        <v>0</v>
      </c>
      <c r="G195" s="43">
        <f t="shared" ref="G195:L195" si="108">SUM(G196:G197)</f>
        <v>0</v>
      </c>
      <c r="H195" s="43">
        <f t="shared" si="108"/>
        <v>0</v>
      </c>
      <c r="I195" s="43">
        <f t="shared" si="108"/>
        <v>0</v>
      </c>
      <c r="J195" s="43">
        <f t="shared" si="108"/>
        <v>0</v>
      </c>
      <c r="K195" s="43">
        <f t="shared" si="108"/>
        <v>0</v>
      </c>
      <c r="L195" s="43">
        <f t="shared" si="108"/>
        <v>0</v>
      </c>
      <c r="M195" s="35">
        <f t="shared" ref="M195:M201" si="109">K195-L195</f>
        <v>0</v>
      </c>
      <c r="N195" s="43"/>
    </row>
    <row r="196" spans="2:14" x14ac:dyDescent="0.3">
      <c r="B196" s="27"/>
      <c r="C196" s="17"/>
      <c r="D196" s="3">
        <v>1611</v>
      </c>
      <c r="E196" s="3" t="s">
        <v>321</v>
      </c>
      <c r="F196" s="35"/>
      <c r="G196" s="35"/>
      <c r="H196" s="35"/>
      <c r="I196" s="35"/>
      <c r="J196" s="35"/>
      <c r="K196" s="35"/>
      <c r="L196" s="35"/>
      <c r="M196" s="35">
        <f t="shared" si="109"/>
        <v>0</v>
      </c>
      <c r="N196" s="35" t="e">
        <f t="shared" ref="N196:N197" si="110">K196/I196</f>
        <v>#DIV/0!</v>
      </c>
    </row>
    <row r="197" spans="2:14" x14ac:dyDescent="0.3">
      <c r="B197" s="27"/>
      <c r="C197" s="17"/>
      <c r="D197" s="3">
        <v>1612</v>
      </c>
      <c r="E197" s="3" t="s">
        <v>322</v>
      </c>
      <c r="F197" s="35"/>
      <c r="G197" s="35"/>
      <c r="H197" s="35"/>
      <c r="I197" s="35"/>
      <c r="J197" s="35"/>
      <c r="K197" s="35"/>
      <c r="L197" s="35"/>
      <c r="M197" s="35">
        <f t="shared" si="109"/>
        <v>0</v>
      </c>
      <c r="N197" s="35" t="e">
        <f t="shared" si="110"/>
        <v>#DIV/0!</v>
      </c>
    </row>
    <row r="198" spans="2:14" s="10" customFormat="1" x14ac:dyDescent="0.3">
      <c r="B198" s="27"/>
      <c r="C198" s="17">
        <v>162</v>
      </c>
      <c r="D198" s="17"/>
      <c r="E198" s="17" t="s">
        <v>323</v>
      </c>
      <c r="F198" s="43">
        <f>SUM(F199:F200)</f>
        <v>0</v>
      </c>
      <c r="G198" s="43">
        <f t="shared" ref="G198:L198" si="111">SUM(G199:G200)</f>
        <v>0</v>
      </c>
      <c r="H198" s="43">
        <f t="shared" si="111"/>
        <v>0</v>
      </c>
      <c r="I198" s="43">
        <f t="shared" si="111"/>
        <v>0</v>
      </c>
      <c r="J198" s="43">
        <f t="shared" si="111"/>
        <v>0</v>
      </c>
      <c r="K198" s="43">
        <f t="shared" si="111"/>
        <v>0</v>
      </c>
      <c r="L198" s="43">
        <f t="shared" si="111"/>
        <v>0</v>
      </c>
      <c r="M198" s="35">
        <f t="shared" si="109"/>
        <v>0</v>
      </c>
      <c r="N198" s="43"/>
    </row>
    <row r="199" spans="2:14" x14ac:dyDescent="0.3">
      <c r="B199" s="27"/>
      <c r="C199" s="17"/>
      <c r="D199" s="3">
        <v>1621</v>
      </c>
      <c r="E199" s="3" t="s">
        <v>321</v>
      </c>
      <c r="F199" s="35"/>
      <c r="G199" s="35"/>
      <c r="H199" s="35"/>
      <c r="I199" s="35"/>
      <c r="J199" s="35"/>
      <c r="K199" s="35"/>
      <c r="L199" s="35"/>
      <c r="M199" s="35">
        <f t="shared" si="109"/>
        <v>0</v>
      </c>
      <c r="N199" s="35" t="e">
        <f t="shared" ref="N199:N200" si="112">K199/I199</f>
        <v>#DIV/0!</v>
      </c>
    </row>
    <row r="200" spans="2:14" x14ac:dyDescent="0.3">
      <c r="B200" s="27"/>
      <c r="C200" s="17"/>
      <c r="D200" s="3">
        <v>1622</v>
      </c>
      <c r="E200" s="3" t="s">
        <v>322</v>
      </c>
      <c r="F200" s="35"/>
      <c r="G200" s="35"/>
      <c r="H200" s="35"/>
      <c r="I200" s="35"/>
      <c r="J200" s="35"/>
      <c r="K200" s="35"/>
      <c r="L200" s="35"/>
      <c r="M200" s="35">
        <f t="shared" si="109"/>
        <v>0</v>
      </c>
      <c r="N200" s="35" t="e">
        <f t="shared" si="112"/>
        <v>#DIV/0!</v>
      </c>
    </row>
    <row r="201" spans="2:14" s="10" customFormat="1" x14ac:dyDescent="0.3">
      <c r="B201" s="27"/>
      <c r="C201" s="17">
        <v>165</v>
      </c>
      <c r="D201" s="17"/>
      <c r="E201" s="17" t="s">
        <v>324</v>
      </c>
      <c r="F201" s="43">
        <f>SUM(F202)</f>
        <v>0</v>
      </c>
      <c r="G201" s="43">
        <f t="shared" ref="G201:L201" si="113">SUM(G202)</f>
        <v>0</v>
      </c>
      <c r="H201" s="43">
        <f t="shared" si="113"/>
        <v>0</v>
      </c>
      <c r="I201" s="43">
        <f t="shared" si="113"/>
        <v>0</v>
      </c>
      <c r="J201" s="43">
        <f t="shared" si="113"/>
        <v>0</v>
      </c>
      <c r="K201" s="43">
        <f t="shared" si="113"/>
        <v>0</v>
      </c>
      <c r="L201" s="43">
        <f t="shared" si="113"/>
        <v>0</v>
      </c>
      <c r="M201" s="35">
        <f t="shared" si="109"/>
        <v>0</v>
      </c>
      <c r="N201" s="43"/>
    </row>
    <row r="202" spans="2:14" x14ac:dyDescent="0.3">
      <c r="B202" s="27"/>
      <c r="C202" s="17"/>
      <c r="D202" s="3">
        <v>1650</v>
      </c>
      <c r="E202" s="3" t="s">
        <v>324</v>
      </c>
      <c r="F202" s="35"/>
      <c r="G202" s="35"/>
      <c r="H202" s="35"/>
      <c r="I202" s="35"/>
      <c r="J202" s="35"/>
      <c r="K202" s="35"/>
      <c r="L202" s="35"/>
      <c r="M202" s="35">
        <f>K202-L202</f>
        <v>0</v>
      </c>
      <c r="N202" s="35" t="e">
        <f t="shared" ref="N202" si="114">K202/I202</f>
        <v>#DIV/0!</v>
      </c>
    </row>
    <row r="203" spans="2:14" s="10" customFormat="1" x14ac:dyDescent="0.3">
      <c r="B203" s="27"/>
      <c r="C203" s="17">
        <v>167</v>
      </c>
      <c r="D203" s="17"/>
      <c r="E203" s="17" t="s">
        <v>325</v>
      </c>
      <c r="F203" s="43">
        <f>SUM(F204)</f>
        <v>0</v>
      </c>
      <c r="G203" s="43">
        <f t="shared" ref="G203:L203" si="115">SUM(G204)</f>
        <v>0</v>
      </c>
      <c r="H203" s="43">
        <f t="shared" si="115"/>
        <v>0</v>
      </c>
      <c r="I203" s="43">
        <f t="shared" si="115"/>
        <v>0</v>
      </c>
      <c r="J203" s="43">
        <f t="shared" si="115"/>
        <v>0</v>
      </c>
      <c r="K203" s="43">
        <f t="shared" si="115"/>
        <v>0</v>
      </c>
      <c r="L203" s="43">
        <f t="shared" si="115"/>
        <v>0</v>
      </c>
      <c r="M203" s="35">
        <f t="shared" ref="M203" si="116">K203-L203</f>
        <v>0</v>
      </c>
      <c r="N203" s="43"/>
    </row>
    <row r="204" spans="2:14" x14ac:dyDescent="0.3">
      <c r="B204" s="27"/>
      <c r="C204" s="17"/>
      <c r="D204" s="3">
        <v>1670</v>
      </c>
      <c r="E204" s="3" t="s">
        <v>325</v>
      </c>
      <c r="F204" s="35"/>
      <c r="G204" s="35"/>
      <c r="H204" s="35"/>
      <c r="I204" s="35"/>
      <c r="J204" s="35"/>
      <c r="K204" s="35"/>
      <c r="L204" s="35"/>
      <c r="M204" s="35">
        <f>K204-L204</f>
        <v>0</v>
      </c>
      <c r="N204" s="35" t="e">
        <f t="shared" ref="N204" si="117">K204/I204</f>
        <v>#DIV/0!</v>
      </c>
    </row>
    <row r="205" spans="2:14" s="10" customFormat="1" x14ac:dyDescent="0.3">
      <c r="B205" s="27"/>
      <c r="C205" s="17">
        <v>168</v>
      </c>
      <c r="D205" s="17"/>
      <c r="E205" s="17" t="s">
        <v>326</v>
      </c>
      <c r="F205" s="43">
        <f>SUM(F206:F207)</f>
        <v>0</v>
      </c>
      <c r="G205" s="43">
        <f t="shared" ref="G205:L205" si="118">SUM(G206:G207)</f>
        <v>0</v>
      </c>
      <c r="H205" s="43">
        <f t="shared" si="118"/>
        <v>0</v>
      </c>
      <c r="I205" s="43">
        <f t="shared" si="118"/>
        <v>0</v>
      </c>
      <c r="J205" s="43">
        <f t="shared" si="118"/>
        <v>0</v>
      </c>
      <c r="K205" s="43">
        <f t="shared" si="118"/>
        <v>0</v>
      </c>
      <c r="L205" s="43">
        <f t="shared" si="118"/>
        <v>0</v>
      </c>
      <c r="M205" s="35">
        <f t="shared" ref="M205:M207" si="119">K205-L205</f>
        <v>0</v>
      </c>
      <c r="N205" s="43"/>
    </row>
    <row r="206" spans="2:14" x14ac:dyDescent="0.3">
      <c r="B206" s="27"/>
      <c r="C206" s="17"/>
      <c r="D206" s="3">
        <v>1680</v>
      </c>
      <c r="E206" s="3" t="s">
        <v>326</v>
      </c>
      <c r="F206" s="35"/>
      <c r="G206" s="35"/>
      <c r="H206" s="35"/>
      <c r="I206" s="35"/>
      <c r="J206" s="35"/>
      <c r="K206" s="35"/>
      <c r="L206" s="35"/>
      <c r="M206" s="35">
        <f t="shared" si="119"/>
        <v>0</v>
      </c>
      <c r="N206" s="35" t="e">
        <f t="shared" ref="N206:N207" si="120">K206/I206</f>
        <v>#DIV/0!</v>
      </c>
    </row>
    <row r="207" spans="2:14" x14ac:dyDescent="0.3">
      <c r="B207" s="27"/>
      <c r="C207" s="17"/>
      <c r="D207" s="3">
        <v>1688</v>
      </c>
      <c r="E207" s="3" t="s">
        <v>327</v>
      </c>
      <c r="F207" s="35"/>
      <c r="G207" s="35"/>
      <c r="H207" s="35"/>
      <c r="I207" s="35"/>
      <c r="J207" s="35"/>
      <c r="K207" s="35"/>
      <c r="L207" s="35"/>
      <c r="M207" s="35">
        <f t="shared" si="119"/>
        <v>0</v>
      </c>
      <c r="N207" s="35" t="e">
        <f t="shared" si="120"/>
        <v>#DIV/0!</v>
      </c>
    </row>
    <row r="208" spans="2:14" s="10" customFormat="1" ht="30" customHeight="1" x14ac:dyDescent="0.3">
      <c r="B208" s="27">
        <v>20</v>
      </c>
      <c r="C208" s="17"/>
      <c r="D208" s="17"/>
      <c r="E208" s="17" t="s">
        <v>167</v>
      </c>
      <c r="F208" s="43">
        <f>SUM(F209,F218,F221)</f>
        <v>0</v>
      </c>
      <c r="G208" s="43">
        <f t="shared" ref="G208:M208" si="121">SUM(G209,G218,G221)</f>
        <v>0</v>
      </c>
      <c r="H208" s="43">
        <f t="shared" si="121"/>
        <v>0</v>
      </c>
      <c r="I208" s="43">
        <f t="shared" si="121"/>
        <v>0</v>
      </c>
      <c r="J208" s="43">
        <f t="shared" si="121"/>
        <v>0</v>
      </c>
      <c r="K208" s="43">
        <f t="shared" si="121"/>
        <v>0</v>
      </c>
      <c r="L208" s="43">
        <f t="shared" si="121"/>
        <v>0</v>
      </c>
      <c r="M208" s="43">
        <f t="shared" si="121"/>
        <v>0</v>
      </c>
      <c r="N208" s="43" t="e">
        <f>K208/I208</f>
        <v>#DIV/0!</v>
      </c>
    </row>
    <row r="209" spans="2:14" s="10" customFormat="1" x14ac:dyDescent="0.3">
      <c r="B209" s="27"/>
      <c r="C209" s="17">
        <v>201</v>
      </c>
      <c r="D209" s="17"/>
      <c r="E209" s="17" t="s">
        <v>125</v>
      </c>
      <c r="F209" s="43">
        <f>SUM(F210:F217)</f>
        <v>0</v>
      </c>
      <c r="G209" s="43">
        <f t="shared" ref="G209:L209" si="122">SUM(G210:G217)</f>
        <v>0</v>
      </c>
      <c r="H209" s="43">
        <f t="shared" si="122"/>
        <v>0</v>
      </c>
      <c r="I209" s="43">
        <f t="shared" si="122"/>
        <v>0</v>
      </c>
      <c r="J209" s="43">
        <f t="shared" si="122"/>
        <v>0</v>
      </c>
      <c r="K209" s="43">
        <f t="shared" si="122"/>
        <v>0</v>
      </c>
      <c r="L209" s="43">
        <f t="shared" si="122"/>
        <v>0</v>
      </c>
      <c r="M209" s="35">
        <f t="shared" ref="M209:M221" si="123">K209-L209</f>
        <v>0</v>
      </c>
      <c r="N209" s="43"/>
    </row>
    <row r="210" spans="2:14" x14ac:dyDescent="0.3">
      <c r="B210" s="27"/>
      <c r="C210" s="17"/>
      <c r="D210" s="3">
        <v>2011</v>
      </c>
      <c r="E210" s="3" t="s">
        <v>328</v>
      </c>
      <c r="F210" s="35"/>
      <c r="G210" s="35"/>
      <c r="H210" s="35"/>
      <c r="I210" s="35"/>
      <c r="J210" s="35"/>
      <c r="K210" s="35"/>
      <c r="L210" s="35"/>
      <c r="M210" s="35">
        <f t="shared" si="123"/>
        <v>0</v>
      </c>
      <c r="N210" s="35" t="e">
        <f t="shared" ref="N210:N217" si="124">K210/I210</f>
        <v>#DIV/0!</v>
      </c>
    </row>
    <row r="211" spans="2:14" x14ac:dyDescent="0.3">
      <c r="B211" s="27"/>
      <c r="C211" s="17"/>
      <c r="D211" s="3">
        <v>2012</v>
      </c>
      <c r="E211" s="3" t="s">
        <v>329</v>
      </c>
      <c r="F211" s="35"/>
      <c r="G211" s="35"/>
      <c r="H211" s="35"/>
      <c r="I211" s="35"/>
      <c r="J211" s="35"/>
      <c r="K211" s="35"/>
      <c r="L211" s="35"/>
      <c r="M211" s="35">
        <f t="shared" si="123"/>
        <v>0</v>
      </c>
      <c r="N211" s="35" t="e">
        <f t="shared" si="124"/>
        <v>#DIV/0!</v>
      </c>
    </row>
    <row r="212" spans="2:14" x14ac:dyDescent="0.3">
      <c r="B212" s="27"/>
      <c r="C212" s="17"/>
      <c r="D212" s="3">
        <v>2013</v>
      </c>
      <c r="E212" s="3" t="s">
        <v>330</v>
      </c>
      <c r="F212" s="35"/>
      <c r="G212" s="35"/>
      <c r="H212" s="35"/>
      <c r="I212" s="35"/>
      <c r="J212" s="35"/>
      <c r="K212" s="35"/>
      <c r="L212" s="35"/>
      <c r="M212" s="35">
        <f t="shared" si="123"/>
        <v>0</v>
      </c>
      <c r="N212" s="35" t="e">
        <f t="shared" si="124"/>
        <v>#DIV/0!</v>
      </c>
    </row>
    <row r="213" spans="2:14" x14ac:dyDescent="0.3">
      <c r="B213" s="27"/>
      <c r="C213" s="17"/>
      <c r="D213" s="3">
        <v>2014</v>
      </c>
      <c r="E213" s="3" t="s">
        <v>331</v>
      </c>
      <c r="F213" s="35"/>
      <c r="G213" s="35"/>
      <c r="H213" s="35"/>
      <c r="I213" s="35"/>
      <c r="J213" s="35"/>
      <c r="K213" s="35"/>
      <c r="L213" s="35"/>
      <c r="M213" s="35">
        <f t="shared" si="123"/>
        <v>0</v>
      </c>
      <c r="N213" s="35" t="e">
        <f t="shared" si="124"/>
        <v>#DIV/0!</v>
      </c>
    </row>
    <row r="214" spans="2:14" x14ac:dyDescent="0.3">
      <c r="B214" s="27"/>
      <c r="C214" s="17"/>
      <c r="D214" s="3">
        <v>2015</v>
      </c>
      <c r="E214" s="3" t="s">
        <v>332</v>
      </c>
      <c r="F214" s="35"/>
      <c r="G214" s="35"/>
      <c r="H214" s="35"/>
      <c r="I214" s="35"/>
      <c r="J214" s="35"/>
      <c r="K214" s="35"/>
      <c r="L214" s="35"/>
      <c r="M214" s="35">
        <f t="shared" si="123"/>
        <v>0</v>
      </c>
      <c r="N214" s="35" t="e">
        <f t="shared" si="124"/>
        <v>#DIV/0!</v>
      </c>
    </row>
    <row r="215" spans="2:14" x14ac:dyDescent="0.3">
      <c r="B215" s="27"/>
      <c r="C215" s="17"/>
      <c r="D215" s="3">
        <v>2016</v>
      </c>
      <c r="E215" s="3" t="s">
        <v>333</v>
      </c>
      <c r="F215" s="35"/>
      <c r="G215" s="35"/>
      <c r="H215" s="35"/>
      <c r="I215" s="35"/>
      <c r="J215" s="35"/>
      <c r="K215" s="35"/>
      <c r="L215" s="35"/>
      <c r="M215" s="35">
        <f t="shared" si="123"/>
        <v>0</v>
      </c>
      <c r="N215" s="35" t="e">
        <f t="shared" si="124"/>
        <v>#DIV/0!</v>
      </c>
    </row>
    <row r="216" spans="2:14" x14ac:dyDescent="0.3">
      <c r="B216" s="27"/>
      <c r="C216" s="17"/>
      <c r="D216" s="3">
        <v>2017</v>
      </c>
      <c r="E216" s="3" t="s">
        <v>334</v>
      </c>
      <c r="F216" s="35"/>
      <c r="G216" s="35"/>
      <c r="H216" s="35"/>
      <c r="I216" s="35"/>
      <c r="J216" s="35"/>
      <c r="K216" s="35"/>
      <c r="L216" s="35"/>
      <c r="M216" s="35">
        <f t="shared" si="123"/>
        <v>0</v>
      </c>
      <c r="N216" s="35" t="e">
        <f t="shared" si="124"/>
        <v>#DIV/0!</v>
      </c>
    </row>
    <row r="217" spans="2:14" x14ac:dyDescent="0.3">
      <c r="B217" s="27"/>
      <c r="C217" s="17"/>
      <c r="D217" s="3">
        <v>2018</v>
      </c>
      <c r="E217" s="3" t="s">
        <v>95</v>
      </c>
      <c r="F217" s="35"/>
      <c r="G217" s="35"/>
      <c r="H217" s="35"/>
      <c r="I217" s="35"/>
      <c r="J217" s="35"/>
      <c r="K217" s="35"/>
      <c r="L217" s="35"/>
      <c r="M217" s="35">
        <f t="shared" si="123"/>
        <v>0</v>
      </c>
      <c r="N217" s="35" t="e">
        <f t="shared" si="124"/>
        <v>#DIV/0!</v>
      </c>
    </row>
    <row r="218" spans="2:14" s="10" customFormat="1" x14ac:dyDescent="0.3">
      <c r="B218" s="27"/>
      <c r="C218" s="17">
        <v>205</v>
      </c>
      <c r="D218" s="17"/>
      <c r="E218" s="17" t="s">
        <v>335</v>
      </c>
      <c r="F218" s="43">
        <f>SUM(F219:F220)</f>
        <v>0</v>
      </c>
      <c r="G218" s="43">
        <f t="shared" ref="G218:L218" si="125">SUM(G219:G220)</f>
        <v>0</v>
      </c>
      <c r="H218" s="43">
        <f t="shared" si="125"/>
        <v>0</v>
      </c>
      <c r="I218" s="43">
        <f t="shared" si="125"/>
        <v>0</v>
      </c>
      <c r="J218" s="43">
        <f t="shared" si="125"/>
        <v>0</v>
      </c>
      <c r="K218" s="43">
        <f t="shared" si="125"/>
        <v>0</v>
      </c>
      <c r="L218" s="43">
        <f t="shared" si="125"/>
        <v>0</v>
      </c>
      <c r="M218" s="35">
        <f t="shared" si="123"/>
        <v>0</v>
      </c>
      <c r="N218" s="43"/>
    </row>
    <row r="219" spans="2:14" x14ac:dyDescent="0.3">
      <c r="B219" s="27"/>
      <c r="C219" s="17"/>
      <c r="D219" s="3">
        <v>2051</v>
      </c>
      <c r="E219" s="3" t="s">
        <v>336</v>
      </c>
      <c r="F219" s="35"/>
      <c r="G219" s="35"/>
      <c r="H219" s="35"/>
      <c r="I219" s="35"/>
      <c r="J219" s="35"/>
      <c r="K219" s="35"/>
      <c r="L219" s="35"/>
      <c r="M219" s="35">
        <f t="shared" si="123"/>
        <v>0</v>
      </c>
      <c r="N219" s="35" t="e">
        <f t="shared" ref="N219:N220" si="126">K219/I219</f>
        <v>#DIV/0!</v>
      </c>
    </row>
    <row r="220" spans="2:14" x14ac:dyDescent="0.3">
      <c r="B220" s="27"/>
      <c r="C220" s="17"/>
      <c r="D220" s="3">
        <v>2052</v>
      </c>
      <c r="E220" s="3" t="s">
        <v>337</v>
      </c>
      <c r="F220" s="35"/>
      <c r="G220" s="35"/>
      <c r="H220" s="35"/>
      <c r="I220" s="35"/>
      <c r="J220" s="35"/>
      <c r="K220" s="35"/>
      <c r="L220" s="35"/>
      <c r="M220" s="35">
        <f t="shared" si="123"/>
        <v>0</v>
      </c>
      <c r="N220" s="35" t="e">
        <f t="shared" si="126"/>
        <v>#DIV/0!</v>
      </c>
    </row>
    <row r="221" spans="2:14" s="10" customFormat="1" x14ac:dyDescent="0.3">
      <c r="B221" s="27"/>
      <c r="C221" s="17">
        <v>208</v>
      </c>
      <c r="D221" s="17"/>
      <c r="E221" s="17" t="s">
        <v>338</v>
      </c>
      <c r="F221" s="43">
        <f>SUM(F222)</f>
        <v>0</v>
      </c>
      <c r="G221" s="43">
        <f t="shared" ref="G221:L221" si="127">SUM(G222)</f>
        <v>0</v>
      </c>
      <c r="H221" s="43">
        <f t="shared" si="127"/>
        <v>0</v>
      </c>
      <c r="I221" s="43">
        <f t="shared" si="127"/>
        <v>0</v>
      </c>
      <c r="J221" s="43">
        <f t="shared" si="127"/>
        <v>0</v>
      </c>
      <c r="K221" s="43">
        <f t="shared" si="127"/>
        <v>0</v>
      </c>
      <c r="L221" s="43">
        <f t="shared" si="127"/>
        <v>0</v>
      </c>
      <c r="M221" s="35">
        <f t="shared" si="123"/>
        <v>0</v>
      </c>
      <c r="N221" s="43"/>
    </row>
    <row r="222" spans="2:14" x14ac:dyDescent="0.3">
      <c r="B222" s="27"/>
      <c r="C222" s="17"/>
      <c r="D222" s="3">
        <v>2080</v>
      </c>
      <c r="E222" s="3" t="s">
        <v>338</v>
      </c>
      <c r="F222" s="35"/>
      <c r="G222" s="35"/>
      <c r="H222" s="35"/>
      <c r="I222" s="35"/>
      <c r="J222" s="35"/>
      <c r="K222" s="35"/>
      <c r="L222" s="35"/>
      <c r="M222" s="35">
        <f>K222-L222</f>
        <v>0</v>
      </c>
      <c r="N222" s="35" t="e">
        <f t="shared" ref="N222" si="128">K222/I222</f>
        <v>#DIV/0!</v>
      </c>
    </row>
    <row r="223" spans="2:14" s="10" customFormat="1" ht="30" customHeight="1" x14ac:dyDescent="0.3">
      <c r="B223" s="27">
        <v>21</v>
      </c>
      <c r="C223" s="17"/>
      <c r="D223" s="17"/>
      <c r="E223" s="17" t="s">
        <v>168</v>
      </c>
      <c r="F223" s="43">
        <f>SUM(F224,F233,F240,F247,F254,F263,F272,F280)</f>
        <v>0</v>
      </c>
      <c r="G223" s="43">
        <f t="shared" ref="G223:M223" si="129">SUM(G224,G233,G240,G247,G254,G263,G272,G280)</f>
        <v>0</v>
      </c>
      <c r="H223" s="43">
        <f t="shared" si="129"/>
        <v>0</v>
      </c>
      <c r="I223" s="43">
        <f t="shared" si="129"/>
        <v>0</v>
      </c>
      <c r="J223" s="43">
        <f t="shared" si="129"/>
        <v>0</v>
      </c>
      <c r="K223" s="43">
        <f t="shared" si="129"/>
        <v>0</v>
      </c>
      <c r="L223" s="43">
        <f t="shared" si="129"/>
        <v>0</v>
      </c>
      <c r="M223" s="43">
        <f t="shared" si="129"/>
        <v>0</v>
      </c>
      <c r="N223" s="43" t="e">
        <f>K223/I223</f>
        <v>#DIV/0!</v>
      </c>
    </row>
    <row r="224" spans="2:14" s="10" customFormat="1" x14ac:dyDescent="0.3">
      <c r="B224" s="27"/>
      <c r="C224" s="17">
        <v>211</v>
      </c>
      <c r="D224" s="17"/>
      <c r="E224" s="17" t="s">
        <v>20</v>
      </c>
      <c r="F224" s="53">
        <f>SUM(F225:F232)</f>
        <v>0</v>
      </c>
      <c r="G224" s="53">
        <f t="shared" ref="G224:L224" si="130">SUM(G225:G232)</f>
        <v>0</v>
      </c>
      <c r="H224" s="53">
        <f t="shared" si="130"/>
        <v>0</v>
      </c>
      <c r="I224" s="53">
        <f t="shared" si="130"/>
        <v>0</v>
      </c>
      <c r="J224" s="53">
        <f t="shared" si="130"/>
        <v>0</v>
      </c>
      <c r="K224" s="53">
        <f t="shared" si="130"/>
        <v>0</v>
      </c>
      <c r="L224" s="53">
        <f t="shared" si="130"/>
        <v>0</v>
      </c>
      <c r="M224" s="35">
        <f t="shared" ref="M224:M287" si="131">K224-L224</f>
        <v>0</v>
      </c>
      <c r="N224" s="53"/>
    </row>
    <row r="225" spans="2:14" x14ac:dyDescent="0.3">
      <c r="B225" s="27"/>
      <c r="C225" s="17"/>
      <c r="D225" s="3">
        <v>2111</v>
      </c>
      <c r="E225" s="3" t="s">
        <v>339</v>
      </c>
      <c r="F225" s="35"/>
      <c r="G225" s="35"/>
      <c r="H225" s="35"/>
      <c r="I225" s="35"/>
      <c r="J225" s="35"/>
      <c r="K225" s="35"/>
      <c r="L225" s="35"/>
      <c r="M225" s="35">
        <f t="shared" si="131"/>
        <v>0</v>
      </c>
      <c r="N225" s="35" t="e">
        <f t="shared" ref="N225:N232" si="132">K225/I225</f>
        <v>#DIV/0!</v>
      </c>
    </row>
    <row r="226" spans="2:14" x14ac:dyDescent="0.3">
      <c r="B226" s="27"/>
      <c r="C226" s="17"/>
      <c r="D226" s="3">
        <v>2112</v>
      </c>
      <c r="E226" s="3" t="s">
        <v>340</v>
      </c>
      <c r="F226" s="35"/>
      <c r="G226" s="35"/>
      <c r="H226" s="35"/>
      <c r="I226" s="35"/>
      <c r="J226" s="35"/>
      <c r="K226" s="35"/>
      <c r="L226" s="35"/>
      <c r="M226" s="35">
        <f t="shared" si="131"/>
        <v>0</v>
      </c>
      <c r="N226" s="35" t="e">
        <f t="shared" si="132"/>
        <v>#DIV/0!</v>
      </c>
    </row>
    <row r="227" spans="2:14" x14ac:dyDescent="0.3">
      <c r="B227" s="27"/>
      <c r="C227" s="17"/>
      <c r="D227" s="3">
        <v>2113</v>
      </c>
      <c r="E227" s="3" t="s">
        <v>341</v>
      </c>
      <c r="F227" s="35"/>
      <c r="G227" s="35"/>
      <c r="H227" s="35"/>
      <c r="I227" s="35"/>
      <c r="J227" s="35"/>
      <c r="K227" s="35"/>
      <c r="L227" s="35"/>
      <c r="M227" s="35">
        <f t="shared" si="131"/>
        <v>0</v>
      </c>
      <c r="N227" s="35" t="e">
        <f t="shared" si="132"/>
        <v>#DIV/0!</v>
      </c>
    </row>
    <row r="228" spans="2:14" x14ac:dyDescent="0.3">
      <c r="B228" s="27"/>
      <c r="C228" s="17"/>
      <c r="D228" s="3">
        <v>2114</v>
      </c>
      <c r="E228" s="3" t="s">
        <v>342</v>
      </c>
      <c r="F228" s="35"/>
      <c r="G228" s="35"/>
      <c r="H228" s="35"/>
      <c r="I228" s="35"/>
      <c r="J228" s="35"/>
      <c r="K228" s="35"/>
      <c r="L228" s="35"/>
      <c r="M228" s="35">
        <f t="shared" si="131"/>
        <v>0</v>
      </c>
      <c r="N228" s="35" t="e">
        <f t="shared" si="132"/>
        <v>#DIV/0!</v>
      </c>
    </row>
    <row r="229" spans="2:14" x14ac:dyDescent="0.3">
      <c r="B229" s="27"/>
      <c r="C229" s="17"/>
      <c r="D229" s="3">
        <v>2115</v>
      </c>
      <c r="E229" s="3" t="s">
        <v>343</v>
      </c>
      <c r="F229" s="35"/>
      <c r="G229" s="35"/>
      <c r="H229" s="35"/>
      <c r="I229" s="35"/>
      <c r="J229" s="35"/>
      <c r="K229" s="35"/>
      <c r="L229" s="35"/>
      <c r="M229" s="35">
        <f t="shared" si="131"/>
        <v>0</v>
      </c>
      <c r="N229" s="35" t="e">
        <f t="shared" si="132"/>
        <v>#DIV/0!</v>
      </c>
    </row>
    <row r="230" spans="2:14" x14ac:dyDescent="0.3">
      <c r="B230" s="27"/>
      <c r="C230" s="17"/>
      <c r="D230" s="3">
        <v>2116</v>
      </c>
      <c r="E230" s="3" t="s">
        <v>344</v>
      </c>
      <c r="F230" s="35"/>
      <c r="G230" s="35"/>
      <c r="H230" s="35"/>
      <c r="I230" s="35"/>
      <c r="J230" s="35"/>
      <c r="K230" s="35"/>
      <c r="L230" s="35"/>
      <c r="M230" s="35">
        <f t="shared" si="131"/>
        <v>0</v>
      </c>
      <c r="N230" s="35" t="e">
        <f t="shared" si="132"/>
        <v>#DIV/0!</v>
      </c>
    </row>
    <row r="231" spans="2:14" x14ac:dyDescent="0.3">
      <c r="B231" s="27"/>
      <c r="C231" s="17"/>
      <c r="D231" s="3">
        <v>2117</v>
      </c>
      <c r="E231" s="3" t="s">
        <v>345</v>
      </c>
      <c r="F231" s="35"/>
      <c r="G231" s="35"/>
      <c r="H231" s="35"/>
      <c r="I231" s="35"/>
      <c r="J231" s="35"/>
      <c r="K231" s="35"/>
      <c r="L231" s="35"/>
      <c r="M231" s="35">
        <f t="shared" si="131"/>
        <v>0</v>
      </c>
      <c r="N231" s="35" t="e">
        <f t="shared" si="132"/>
        <v>#DIV/0!</v>
      </c>
    </row>
    <row r="232" spans="2:14" x14ac:dyDescent="0.3">
      <c r="B232" s="27"/>
      <c r="C232" s="17"/>
      <c r="D232" s="3">
        <v>2118</v>
      </c>
      <c r="E232" s="3" t="s">
        <v>95</v>
      </c>
      <c r="F232" s="35"/>
      <c r="G232" s="35"/>
      <c r="H232" s="35"/>
      <c r="I232" s="35"/>
      <c r="J232" s="35"/>
      <c r="K232" s="35"/>
      <c r="L232" s="35"/>
      <c r="M232" s="35">
        <f t="shared" si="131"/>
        <v>0</v>
      </c>
      <c r="N232" s="35" t="e">
        <f t="shared" si="132"/>
        <v>#DIV/0!</v>
      </c>
    </row>
    <row r="233" spans="2:14" s="10" customFormat="1" x14ac:dyDescent="0.3">
      <c r="B233" s="27"/>
      <c r="C233" s="17">
        <v>212</v>
      </c>
      <c r="D233" s="17"/>
      <c r="E233" s="17" t="s">
        <v>346</v>
      </c>
      <c r="F233" s="53">
        <f>SUM(F234:F239)</f>
        <v>0</v>
      </c>
      <c r="G233" s="53">
        <f t="shared" ref="G233:L233" si="133">SUM(G234:G239)</f>
        <v>0</v>
      </c>
      <c r="H233" s="53">
        <f t="shared" si="133"/>
        <v>0</v>
      </c>
      <c r="I233" s="53">
        <f t="shared" si="133"/>
        <v>0</v>
      </c>
      <c r="J233" s="53">
        <f t="shared" si="133"/>
        <v>0</v>
      </c>
      <c r="K233" s="53">
        <f t="shared" si="133"/>
        <v>0</v>
      </c>
      <c r="L233" s="53">
        <f t="shared" si="133"/>
        <v>0</v>
      </c>
      <c r="M233" s="35">
        <f t="shared" si="131"/>
        <v>0</v>
      </c>
      <c r="N233" s="53"/>
    </row>
    <row r="234" spans="2:14" x14ac:dyDescent="0.3">
      <c r="B234" s="27"/>
      <c r="C234" s="17"/>
      <c r="D234" s="3">
        <v>2121</v>
      </c>
      <c r="E234" s="3" t="s">
        <v>347</v>
      </c>
      <c r="F234" s="35"/>
      <c r="G234" s="35"/>
      <c r="H234" s="35"/>
      <c r="I234" s="35"/>
      <c r="J234" s="35"/>
      <c r="K234" s="35"/>
      <c r="L234" s="35"/>
      <c r="M234" s="35">
        <f t="shared" si="131"/>
        <v>0</v>
      </c>
      <c r="N234" s="35" t="e">
        <f t="shared" ref="N234:N239" si="134">K234/I234</f>
        <v>#DIV/0!</v>
      </c>
    </row>
    <row r="235" spans="2:14" x14ac:dyDescent="0.3">
      <c r="B235" s="27"/>
      <c r="C235" s="17"/>
      <c r="D235" s="3">
        <v>2122</v>
      </c>
      <c r="E235" s="3" t="s">
        <v>348</v>
      </c>
      <c r="F235" s="35"/>
      <c r="G235" s="35"/>
      <c r="H235" s="35"/>
      <c r="I235" s="35"/>
      <c r="J235" s="35"/>
      <c r="K235" s="35"/>
      <c r="L235" s="35"/>
      <c r="M235" s="35">
        <f t="shared" si="131"/>
        <v>0</v>
      </c>
      <c r="N235" s="35" t="e">
        <f t="shared" si="134"/>
        <v>#DIV/0!</v>
      </c>
    </row>
    <row r="236" spans="2:14" x14ac:dyDescent="0.3">
      <c r="B236" s="27"/>
      <c r="C236" s="17"/>
      <c r="D236" s="3">
        <v>2123</v>
      </c>
      <c r="E236" s="3" t="s">
        <v>349</v>
      </c>
      <c r="F236" s="35"/>
      <c r="G236" s="35"/>
      <c r="H236" s="35"/>
      <c r="I236" s="35"/>
      <c r="J236" s="35"/>
      <c r="K236" s="35"/>
      <c r="L236" s="35"/>
      <c r="M236" s="35">
        <f t="shared" si="131"/>
        <v>0</v>
      </c>
      <c r="N236" s="35" t="e">
        <f t="shared" si="134"/>
        <v>#DIV/0!</v>
      </c>
    </row>
    <row r="237" spans="2:14" x14ac:dyDescent="0.3">
      <c r="B237" s="27"/>
      <c r="C237" s="17"/>
      <c r="D237" s="3">
        <v>2124</v>
      </c>
      <c r="E237" s="3" t="s">
        <v>350</v>
      </c>
      <c r="F237" s="35"/>
      <c r="G237" s="35"/>
      <c r="H237" s="35"/>
      <c r="I237" s="35"/>
      <c r="J237" s="35"/>
      <c r="K237" s="35"/>
      <c r="L237" s="35"/>
      <c r="M237" s="35">
        <f t="shared" si="131"/>
        <v>0</v>
      </c>
      <c r="N237" s="35" t="e">
        <f t="shared" si="134"/>
        <v>#DIV/0!</v>
      </c>
    </row>
    <row r="238" spans="2:14" x14ac:dyDescent="0.3">
      <c r="B238" s="27"/>
      <c r="C238" s="17"/>
      <c r="D238" s="3">
        <v>2125</v>
      </c>
      <c r="E238" s="3" t="s">
        <v>351</v>
      </c>
      <c r="F238" s="35"/>
      <c r="G238" s="35"/>
      <c r="H238" s="35"/>
      <c r="I238" s="35"/>
      <c r="J238" s="35"/>
      <c r="K238" s="35"/>
      <c r="L238" s="35"/>
      <c r="M238" s="35">
        <f t="shared" si="131"/>
        <v>0</v>
      </c>
      <c r="N238" s="35" t="e">
        <f t="shared" si="134"/>
        <v>#DIV/0!</v>
      </c>
    </row>
    <row r="239" spans="2:14" x14ac:dyDescent="0.3">
      <c r="B239" s="27"/>
      <c r="C239" s="17"/>
      <c r="D239" s="3">
        <v>2128</v>
      </c>
      <c r="E239" s="3" t="s">
        <v>352</v>
      </c>
      <c r="F239" s="35"/>
      <c r="G239" s="35"/>
      <c r="H239" s="35"/>
      <c r="I239" s="35"/>
      <c r="J239" s="35"/>
      <c r="K239" s="35"/>
      <c r="L239" s="35"/>
      <c r="M239" s="35">
        <f t="shared" si="131"/>
        <v>0</v>
      </c>
      <c r="N239" s="35" t="e">
        <f t="shared" si="134"/>
        <v>#DIV/0!</v>
      </c>
    </row>
    <row r="240" spans="2:14" s="10" customFormat="1" x14ac:dyDescent="0.3">
      <c r="B240" s="27"/>
      <c r="C240" s="17">
        <v>213</v>
      </c>
      <c r="D240" s="17"/>
      <c r="E240" s="17" t="s">
        <v>353</v>
      </c>
      <c r="F240" s="53">
        <f>SUM(F241:F246)</f>
        <v>0</v>
      </c>
      <c r="G240" s="53">
        <f t="shared" ref="G240:L240" si="135">SUM(G241:G246)</f>
        <v>0</v>
      </c>
      <c r="H240" s="53">
        <f t="shared" si="135"/>
        <v>0</v>
      </c>
      <c r="I240" s="53">
        <f t="shared" si="135"/>
        <v>0</v>
      </c>
      <c r="J240" s="53">
        <f t="shared" si="135"/>
        <v>0</v>
      </c>
      <c r="K240" s="53">
        <f t="shared" si="135"/>
        <v>0</v>
      </c>
      <c r="L240" s="53">
        <f t="shared" si="135"/>
        <v>0</v>
      </c>
      <c r="M240" s="35">
        <f t="shared" si="131"/>
        <v>0</v>
      </c>
      <c r="N240" s="53"/>
    </row>
    <row r="241" spans="2:14" x14ac:dyDescent="0.3">
      <c r="B241" s="27"/>
      <c r="C241" s="17"/>
      <c r="D241" s="3">
        <v>2131</v>
      </c>
      <c r="E241" s="3" t="s">
        <v>354</v>
      </c>
      <c r="F241" s="35"/>
      <c r="G241" s="35"/>
      <c r="H241" s="35"/>
      <c r="I241" s="35"/>
      <c r="J241" s="35"/>
      <c r="K241" s="35"/>
      <c r="L241" s="35"/>
      <c r="M241" s="35">
        <f t="shared" si="131"/>
        <v>0</v>
      </c>
      <c r="N241" s="35" t="e">
        <f t="shared" ref="N241:N246" si="136">K241/I241</f>
        <v>#DIV/0!</v>
      </c>
    </row>
    <row r="242" spans="2:14" x14ac:dyDescent="0.3">
      <c r="B242" s="27"/>
      <c r="C242" s="17"/>
      <c r="D242" s="3">
        <v>2132</v>
      </c>
      <c r="E242" s="3" t="s">
        <v>355</v>
      </c>
      <c r="F242" s="35"/>
      <c r="G242" s="35"/>
      <c r="H242" s="35"/>
      <c r="I242" s="35"/>
      <c r="J242" s="35"/>
      <c r="K242" s="35"/>
      <c r="L242" s="35"/>
      <c r="M242" s="35">
        <f t="shared" si="131"/>
        <v>0</v>
      </c>
      <c r="N242" s="35" t="e">
        <f t="shared" si="136"/>
        <v>#DIV/0!</v>
      </c>
    </row>
    <row r="243" spans="2:14" x14ac:dyDescent="0.3">
      <c r="B243" s="27"/>
      <c r="C243" s="17"/>
      <c r="D243" s="3">
        <v>2133</v>
      </c>
      <c r="E243" s="3" t="s">
        <v>356</v>
      </c>
      <c r="F243" s="35"/>
      <c r="G243" s="35"/>
      <c r="H243" s="35"/>
      <c r="I243" s="35"/>
      <c r="J243" s="35"/>
      <c r="K243" s="35"/>
      <c r="L243" s="35"/>
      <c r="M243" s="35">
        <f t="shared" si="131"/>
        <v>0</v>
      </c>
      <c r="N243" s="35" t="e">
        <f t="shared" si="136"/>
        <v>#DIV/0!</v>
      </c>
    </row>
    <row r="244" spans="2:14" x14ac:dyDescent="0.3">
      <c r="B244" s="27"/>
      <c r="C244" s="17"/>
      <c r="D244" s="3">
        <v>2134</v>
      </c>
      <c r="E244" s="3" t="s">
        <v>357</v>
      </c>
      <c r="F244" s="35"/>
      <c r="G244" s="35"/>
      <c r="H244" s="35"/>
      <c r="I244" s="35"/>
      <c r="J244" s="35"/>
      <c r="K244" s="35"/>
      <c r="L244" s="35"/>
      <c r="M244" s="35">
        <f t="shared" si="131"/>
        <v>0</v>
      </c>
      <c r="N244" s="35" t="e">
        <f t="shared" si="136"/>
        <v>#DIV/0!</v>
      </c>
    </row>
    <row r="245" spans="2:14" x14ac:dyDescent="0.3">
      <c r="B245" s="27"/>
      <c r="C245" s="17"/>
      <c r="D245" s="3">
        <v>2137</v>
      </c>
      <c r="E245" s="3" t="s">
        <v>358</v>
      </c>
      <c r="F245" s="35"/>
      <c r="G245" s="35"/>
      <c r="H245" s="35"/>
      <c r="I245" s="35"/>
      <c r="J245" s="35"/>
      <c r="K245" s="35"/>
      <c r="L245" s="35"/>
      <c r="M245" s="35">
        <f t="shared" si="131"/>
        <v>0</v>
      </c>
      <c r="N245" s="35" t="e">
        <f t="shared" si="136"/>
        <v>#DIV/0!</v>
      </c>
    </row>
    <row r="246" spans="2:14" x14ac:dyDescent="0.3">
      <c r="B246" s="27"/>
      <c r="C246" s="17"/>
      <c r="D246" s="3">
        <v>2138</v>
      </c>
      <c r="E246" s="3" t="s">
        <v>359</v>
      </c>
      <c r="F246" s="35"/>
      <c r="G246" s="35"/>
      <c r="H246" s="35"/>
      <c r="I246" s="35"/>
      <c r="J246" s="35"/>
      <c r="K246" s="35"/>
      <c r="L246" s="35"/>
      <c r="M246" s="35">
        <f t="shared" si="131"/>
        <v>0</v>
      </c>
      <c r="N246" s="35" t="e">
        <f t="shared" si="136"/>
        <v>#DIV/0!</v>
      </c>
    </row>
    <row r="247" spans="2:14" s="10" customFormat="1" x14ac:dyDescent="0.3">
      <c r="B247" s="27"/>
      <c r="C247" s="17">
        <v>214</v>
      </c>
      <c r="D247" s="17"/>
      <c r="E247" s="17" t="s">
        <v>360</v>
      </c>
      <c r="F247" s="53">
        <f>SUM(F248:F253)</f>
        <v>0</v>
      </c>
      <c r="G247" s="53">
        <f t="shared" ref="G247:L247" si="137">SUM(G248:G253)</f>
        <v>0</v>
      </c>
      <c r="H247" s="53">
        <f t="shared" si="137"/>
        <v>0</v>
      </c>
      <c r="I247" s="53">
        <f t="shared" si="137"/>
        <v>0</v>
      </c>
      <c r="J247" s="53">
        <f t="shared" si="137"/>
        <v>0</v>
      </c>
      <c r="K247" s="53">
        <f t="shared" si="137"/>
        <v>0</v>
      </c>
      <c r="L247" s="53">
        <f t="shared" si="137"/>
        <v>0</v>
      </c>
      <c r="M247" s="35">
        <f t="shared" si="131"/>
        <v>0</v>
      </c>
      <c r="N247" s="53"/>
    </row>
    <row r="248" spans="2:14" x14ac:dyDescent="0.3">
      <c r="B248" s="27"/>
      <c r="C248" s="17"/>
      <c r="D248" s="3">
        <v>2141</v>
      </c>
      <c r="E248" s="3" t="s">
        <v>390</v>
      </c>
      <c r="F248" s="35"/>
      <c r="G248" s="35"/>
      <c r="H248" s="35"/>
      <c r="I248" s="35"/>
      <c r="J248" s="35"/>
      <c r="K248" s="35"/>
      <c r="L248" s="35"/>
      <c r="M248" s="35">
        <f t="shared" si="131"/>
        <v>0</v>
      </c>
      <c r="N248" s="35" t="e">
        <f t="shared" ref="N248:N253" si="138">K248/I248</f>
        <v>#DIV/0!</v>
      </c>
    </row>
    <row r="249" spans="2:14" x14ac:dyDescent="0.3">
      <c r="B249" s="27"/>
      <c r="C249" s="17"/>
      <c r="D249" s="3">
        <v>2142</v>
      </c>
      <c r="E249" s="3" t="s">
        <v>391</v>
      </c>
      <c r="F249" s="35"/>
      <c r="G249" s="35"/>
      <c r="H249" s="35"/>
      <c r="I249" s="35"/>
      <c r="J249" s="35"/>
      <c r="K249" s="35"/>
      <c r="L249" s="35"/>
      <c r="M249" s="35">
        <f t="shared" si="131"/>
        <v>0</v>
      </c>
      <c r="N249" s="35" t="e">
        <f t="shared" si="138"/>
        <v>#DIV/0!</v>
      </c>
    </row>
    <row r="250" spans="2:14" x14ac:dyDescent="0.3">
      <c r="B250" s="27"/>
      <c r="C250" s="17"/>
      <c r="D250" s="3">
        <v>2143</v>
      </c>
      <c r="E250" s="3" t="s">
        <v>392</v>
      </c>
      <c r="F250" s="35"/>
      <c r="G250" s="35"/>
      <c r="H250" s="35"/>
      <c r="I250" s="35"/>
      <c r="J250" s="35"/>
      <c r="K250" s="35"/>
      <c r="L250" s="35"/>
      <c r="M250" s="35">
        <f t="shared" si="131"/>
        <v>0</v>
      </c>
      <c r="N250" s="35" t="e">
        <f t="shared" si="138"/>
        <v>#DIV/0!</v>
      </c>
    </row>
    <row r="251" spans="2:14" x14ac:dyDescent="0.3">
      <c r="B251" s="27"/>
      <c r="C251" s="17"/>
      <c r="D251" s="3">
        <v>2144</v>
      </c>
      <c r="E251" s="3" t="s">
        <v>393</v>
      </c>
      <c r="F251" s="35"/>
      <c r="G251" s="35"/>
      <c r="H251" s="35"/>
      <c r="I251" s="35"/>
      <c r="J251" s="35"/>
      <c r="K251" s="35"/>
      <c r="L251" s="35"/>
      <c r="M251" s="35">
        <f t="shared" si="131"/>
        <v>0</v>
      </c>
      <c r="N251" s="35" t="e">
        <f t="shared" si="138"/>
        <v>#DIV/0!</v>
      </c>
    </row>
    <row r="252" spans="2:14" x14ac:dyDescent="0.3">
      <c r="B252" s="27"/>
      <c r="C252" s="17"/>
      <c r="D252" s="3">
        <v>2147</v>
      </c>
      <c r="E252" s="3" t="s">
        <v>394</v>
      </c>
      <c r="F252" s="35"/>
      <c r="G252" s="35"/>
      <c r="H252" s="35"/>
      <c r="I252" s="35"/>
      <c r="J252" s="35"/>
      <c r="K252" s="35"/>
      <c r="L252" s="35"/>
      <c r="M252" s="35">
        <f t="shared" si="131"/>
        <v>0</v>
      </c>
      <c r="N252" s="35" t="e">
        <f t="shared" si="138"/>
        <v>#DIV/0!</v>
      </c>
    </row>
    <row r="253" spans="2:14" x14ac:dyDescent="0.3">
      <c r="B253" s="27"/>
      <c r="C253" s="17"/>
      <c r="D253" s="3">
        <v>2148</v>
      </c>
      <c r="E253" s="3" t="s">
        <v>395</v>
      </c>
      <c r="F253" s="35"/>
      <c r="G253" s="35"/>
      <c r="H253" s="35"/>
      <c r="I253" s="35"/>
      <c r="J253" s="35"/>
      <c r="K253" s="35"/>
      <c r="L253" s="35"/>
      <c r="M253" s="35">
        <f t="shared" si="131"/>
        <v>0</v>
      </c>
      <c r="N253" s="35" t="e">
        <f t="shared" si="138"/>
        <v>#DIV/0!</v>
      </c>
    </row>
    <row r="254" spans="2:14" s="10" customFormat="1" x14ac:dyDescent="0.3">
      <c r="B254" s="27"/>
      <c r="C254" s="17">
        <v>215</v>
      </c>
      <c r="D254" s="17"/>
      <c r="E254" s="17" t="s">
        <v>361</v>
      </c>
      <c r="F254" s="53">
        <f>SUM(F255:F262)</f>
        <v>0</v>
      </c>
      <c r="G254" s="53">
        <f t="shared" ref="G254:L254" si="139">SUM(G255:G262)</f>
        <v>0</v>
      </c>
      <c r="H254" s="53">
        <f t="shared" si="139"/>
        <v>0</v>
      </c>
      <c r="I254" s="53">
        <f t="shared" si="139"/>
        <v>0</v>
      </c>
      <c r="J254" s="53">
        <f t="shared" si="139"/>
        <v>0</v>
      </c>
      <c r="K254" s="53">
        <f t="shared" si="139"/>
        <v>0</v>
      </c>
      <c r="L254" s="53">
        <f t="shared" si="139"/>
        <v>0</v>
      </c>
      <c r="M254" s="35">
        <f t="shared" si="131"/>
        <v>0</v>
      </c>
      <c r="N254" s="53"/>
    </row>
    <row r="255" spans="2:14" x14ac:dyDescent="0.3">
      <c r="B255" s="27"/>
      <c r="C255" s="17"/>
      <c r="D255" s="3">
        <v>2151</v>
      </c>
      <c r="E255" s="3" t="s">
        <v>362</v>
      </c>
      <c r="F255" s="35"/>
      <c r="G255" s="35"/>
      <c r="H255" s="35"/>
      <c r="I255" s="35"/>
      <c r="J255" s="35"/>
      <c r="K255" s="35"/>
      <c r="L255" s="35"/>
      <c r="M255" s="35">
        <f t="shared" si="131"/>
        <v>0</v>
      </c>
      <c r="N255" s="35" t="e">
        <f t="shared" ref="N255:N262" si="140">K255/I255</f>
        <v>#DIV/0!</v>
      </c>
    </row>
    <row r="256" spans="2:14" x14ac:dyDescent="0.3">
      <c r="B256" s="27"/>
      <c r="C256" s="17"/>
      <c r="D256" s="3">
        <v>2152</v>
      </c>
      <c r="E256" s="3" t="s">
        <v>363</v>
      </c>
      <c r="F256" s="35"/>
      <c r="G256" s="35"/>
      <c r="H256" s="35"/>
      <c r="I256" s="35"/>
      <c r="J256" s="35"/>
      <c r="K256" s="35"/>
      <c r="L256" s="35"/>
      <c r="M256" s="35">
        <f t="shared" si="131"/>
        <v>0</v>
      </c>
      <c r="N256" s="35" t="e">
        <f t="shared" si="140"/>
        <v>#DIV/0!</v>
      </c>
    </row>
    <row r="257" spans="2:14" x14ac:dyDescent="0.3">
      <c r="B257" s="27"/>
      <c r="C257" s="17"/>
      <c r="D257" s="3">
        <v>2153</v>
      </c>
      <c r="E257" s="3" t="s">
        <v>364</v>
      </c>
      <c r="F257" s="35"/>
      <c r="G257" s="35"/>
      <c r="H257" s="35"/>
      <c r="I257" s="35"/>
      <c r="J257" s="35"/>
      <c r="K257" s="35"/>
      <c r="L257" s="35"/>
      <c r="M257" s="35">
        <f t="shared" si="131"/>
        <v>0</v>
      </c>
      <c r="N257" s="35" t="e">
        <f t="shared" si="140"/>
        <v>#DIV/0!</v>
      </c>
    </row>
    <row r="258" spans="2:14" x14ac:dyDescent="0.3">
      <c r="B258" s="27"/>
      <c r="C258" s="17"/>
      <c r="D258" s="3">
        <v>2154</v>
      </c>
      <c r="E258" s="3" t="s">
        <v>365</v>
      </c>
      <c r="F258" s="35"/>
      <c r="G258" s="35"/>
      <c r="H258" s="35"/>
      <c r="I258" s="35"/>
      <c r="J258" s="35"/>
      <c r="K258" s="35"/>
      <c r="L258" s="35"/>
      <c r="M258" s="35">
        <f t="shared" si="131"/>
        <v>0</v>
      </c>
      <c r="N258" s="35" t="e">
        <f t="shared" si="140"/>
        <v>#DIV/0!</v>
      </c>
    </row>
    <row r="259" spans="2:14" x14ac:dyDescent="0.3">
      <c r="B259" s="27"/>
      <c r="C259" s="17"/>
      <c r="D259" s="3">
        <v>2155</v>
      </c>
      <c r="E259" s="3" t="s">
        <v>366</v>
      </c>
      <c r="F259" s="35"/>
      <c r="G259" s="35"/>
      <c r="H259" s="35"/>
      <c r="I259" s="35"/>
      <c r="J259" s="35"/>
      <c r="K259" s="35"/>
      <c r="L259" s="35"/>
      <c r="M259" s="35">
        <f t="shared" si="131"/>
        <v>0</v>
      </c>
      <c r="N259" s="35" t="e">
        <f t="shared" si="140"/>
        <v>#DIV/0!</v>
      </c>
    </row>
    <row r="260" spans="2:14" x14ac:dyDescent="0.3">
      <c r="B260" s="27"/>
      <c r="C260" s="17"/>
      <c r="D260" s="3">
        <v>2156</v>
      </c>
      <c r="E260" s="3" t="s">
        <v>367</v>
      </c>
      <c r="F260" s="35"/>
      <c r="G260" s="35"/>
      <c r="H260" s="35"/>
      <c r="I260" s="35"/>
      <c r="J260" s="35"/>
      <c r="K260" s="35"/>
      <c r="L260" s="35"/>
      <c r="M260" s="35">
        <f t="shared" si="131"/>
        <v>0</v>
      </c>
      <c r="N260" s="35" t="e">
        <f t="shared" si="140"/>
        <v>#DIV/0!</v>
      </c>
    </row>
    <row r="261" spans="2:14" x14ac:dyDescent="0.3">
      <c r="B261" s="27"/>
      <c r="C261" s="17"/>
      <c r="D261" s="3">
        <v>2157</v>
      </c>
      <c r="E261" s="3" t="s">
        <v>368</v>
      </c>
      <c r="F261" s="35"/>
      <c r="G261" s="35"/>
      <c r="H261" s="35"/>
      <c r="I261" s="35"/>
      <c r="J261" s="35"/>
      <c r="K261" s="35"/>
      <c r="L261" s="35"/>
      <c r="M261" s="35">
        <f t="shared" si="131"/>
        <v>0</v>
      </c>
      <c r="N261" s="35" t="e">
        <f t="shared" si="140"/>
        <v>#DIV/0!</v>
      </c>
    </row>
    <row r="262" spans="2:14" x14ac:dyDescent="0.3">
      <c r="B262" s="27"/>
      <c r="C262" s="17"/>
      <c r="D262" s="3">
        <v>2158</v>
      </c>
      <c r="E262" s="3" t="s">
        <v>369</v>
      </c>
      <c r="F262" s="35"/>
      <c r="G262" s="35"/>
      <c r="H262" s="35"/>
      <c r="I262" s="35"/>
      <c r="J262" s="35"/>
      <c r="K262" s="35"/>
      <c r="L262" s="35"/>
      <c r="M262" s="35">
        <f t="shared" si="131"/>
        <v>0</v>
      </c>
      <c r="N262" s="35" t="e">
        <f t="shared" si="140"/>
        <v>#DIV/0!</v>
      </c>
    </row>
    <row r="263" spans="2:14" s="10" customFormat="1" x14ac:dyDescent="0.3">
      <c r="B263" s="27"/>
      <c r="C263" s="17">
        <v>216</v>
      </c>
      <c r="D263" s="17"/>
      <c r="E263" s="17" t="s">
        <v>370</v>
      </c>
      <c r="F263" s="53">
        <f>SUM(F264:F271)</f>
        <v>0</v>
      </c>
      <c r="G263" s="53">
        <f t="shared" ref="G263:L263" si="141">SUM(G264:G271)</f>
        <v>0</v>
      </c>
      <c r="H263" s="53">
        <f t="shared" si="141"/>
        <v>0</v>
      </c>
      <c r="I263" s="53">
        <f t="shared" si="141"/>
        <v>0</v>
      </c>
      <c r="J263" s="53">
        <f t="shared" si="141"/>
        <v>0</v>
      </c>
      <c r="K263" s="53">
        <f t="shared" si="141"/>
        <v>0</v>
      </c>
      <c r="L263" s="53">
        <f t="shared" si="141"/>
        <v>0</v>
      </c>
      <c r="M263" s="35">
        <f t="shared" si="131"/>
        <v>0</v>
      </c>
      <c r="N263" s="53"/>
    </row>
    <row r="264" spans="2:14" x14ac:dyDescent="0.3">
      <c r="B264" s="27"/>
      <c r="C264" s="17"/>
      <c r="D264" s="3">
        <v>2161</v>
      </c>
      <c r="E264" s="3" t="s">
        <v>371</v>
      </c>
      <c r="F264" s="35"/>
      <c r="G264" s="35"/>
      <c r="H264" s="35"/>
      <c r="I264" s="35"/>
      <c r="J264" s="35"/>
      <c r="K264" s="35"/>
      <c r="L264" s="35"/>
      <c r="M264" s="35">
        <f t="shared" si="131"/>
        <v>0</v>
      </c>
      <c r="N264" s="35" t="e">
        <f t="shared" ref="N264:N271" si="142">K264/I264</f>
        <v>#DIV/0!</v>
      </c>
    </row>
    <row r="265" spans="2:14" x14ac:dyDescent="0.3">
      <c r="B265" s="27"/>
      <c r="C265" s="17"/>
      <c r="D265" s="3">
        <v>2162</v>
      </c>
      <c r="E265" s="3" t="s">
        <v>372</v>
      </c>
      <c r="F265" s="35"/>
      <c r="G265" s="35"/>
      <c r="H265" s="35"/>
      <c r="I265" s="35"/>
      <c r="J265" s="35"/>
      <c r="K265" s="35"/>
      <c r="L265" s="35"/>
      <c r="M265" s="35">
        <f t="shared" si="131"/>
        <v>0</v>
      </c>
      <c r="N265" s="35" t="e">
        <f t="shared" si="142"/>
        <v>#DIV/0!</v>
      </c>
    </row>
    <row r="266" spans="2:14" x14ac:dyDescent="0.3">
      <c r="B266" s="27"/>
      <c r="C266" s="17"/>
      <c r="D266" s="3">
        <v>2163</v>
      </c>
      <c r="E266" s="3" t="s">
        <v>373</v>
      </c>
      <c r="F266" s="35"/>
      <c r="G266" s="35"/>
      <c r="H266" s="35"/>
      <c r="I266" s="35"/>
      <c r="J266" s="35"/>
      <c r="K266" s="35"/>
      <c r="L266" s="35"/>
      <c r="M266" s="35">
        <f t="shared" si="131"/>
        <v>0</v>
      </c>
      <c r="N266" s="35" t="e">
        <f t="shared" si="142"/>
        <v>#DIV/0!</v>
      </c>
    </row>
    <row r="267" spans="2:14" x14ac:dyDescent="0.3">
      <c r="B267" s="27"/>
      <c r="C267" s="17"/>
      <c r="D267" s="3">
        <v>2164</v>
      </c>
      <c r="E267" s="3" t="s">
        <v>374</v>
      </c>
      <c r="F267" s="35"/>
      <c r="G267" s="35"/>
      <c r="H267" s="35"/>
      <c r="I267" s="35"/>
      <c r="J267" s="35"/>
      <c r="K267" s="35"/>
      <c r="L267" s="35"/>
      <c r="M267" s="35">
        <f t="shared" si="131"/>
        <v>0</v>
      </c>
      <c r="N267" s="35" t="e">
        <f t="shared" si="142"/>
        <v>#DIV/0!</v>
      </c>
    </row>
    <row r="268" spans="2:14" x14ac:dyDescent="0.3">
      <c r="B268" s="27"/>
      <c r="C268" s="17"/>
      <c r="D268" s="3">
        <v>2165</v>
      </c>
      <c r="E268" s="3" t="s">
        <v>375</v>
      </c>
      <c r="F268" s="35"/>
      <c r="G268" s="35"/>
      <c r="H268" s="35"/>
      <c r="I268" s="35"/>
      <c r="J268" s="35"/>
      <c r="K268" s="35"/>
      <c r="L268" s="35"/>
      <c r="M268" s="35">
        <f t="shared" si="131"/>
        <v>0</v>
      </c>
      <c r="N268" s="35" t="e">
        <f t="shared" si="142"/>
        <v>#DIV/0!</v>
      </c>
    </row>
    <row r="269" spans="2:14" x14ac:dyDescent="0.3">
      <c r="B269" s="27"/>
      <c r="C269" s="17"/>
      <c r="D269" s="3">
        <v>2166</v>
      </c>
      <c r="E269" s="3" t="s">
        <v>376</v>
      </c>
      <c r="F269" s="35"/>
      <c r="G269" s="35"/>
      <c r="H269" s="35"/>
      <c r="I269" s="35"/>
      <c r="J269" s="35"/>
      <c r="K269" s="35"/>
      <c r="L269" s="35"/>
      <c r="M269" s="35">
        <f t="shared" si="131"/>
        <v>0</v>
      </c>
      <c r="N269" s="35" t="e">
        <f t="shared" si="142"/>
        <v>#DIV/0!</v>
      </c>
    </row>
    <row r="270" spans="2:14" x14ac:dyDescent="0.3">
      <c r="B270" s="27"/>
      <c r="C270" s="17"/>
      <c r="D270" s="3">
        <v>2167</v>
      </c>
      <c r="E270" s="3" t="s">
        <v>377</v>
      </c>
      <c r="F270" s="35"/>
      <c r="G270" s="35"/>
      <c r="H270" s="35"/>
      <c r="I270" s="35"/>
      <c r="J270" s="35"/>
      <c r="K270" s="35"/>
      <c r="L270" s="35"/>
      <c r="M270" s="35">
        <f t="shared" si="131"/>
        <v>0</v>
      </c>
      <c r="N270" s="35" t="e">
        <f t="shared" si="142"/>
        <v>#DIV/0!</v>
      </c>
    </row>
    <row r="271" spans="2:14" x14ac:dyDescent="0.3">
      <c r="B271" s="27"/>
      <c r="C271" s="17"/>
      <c r="D271" s="3">
        <v>2168</v>
      </c>
      <c r="E271" s="3" t="s">
        <v>378</v>
      </c>
      <c r="F271" s="35"/>
      <c r="G271" s="35"/>
      <c r="H271" s="35"/>
      <c r="I271" s="35"/>
      <c r="J271" s="35"/>
      <c r="K271" s="35"/>
      <c r="L271" s="35"/>
      <c r="M271" s="35">
        <f t="shared" si="131"/>
        <v>0</v>
      </c>
      <c r="N271" s="35" t="e">
        <f t="shared" si="142"/>
        <v>#DIV/0!</v>
      </c>
    </row>
    <row r="272" spans="2:14" s="10" customFormat="1" x14ac:dyDescent="0.3">
      <c r="B272" s="27"/>
      <c r="C272" s="17">
        <v>217</v>
      </c>
      <c r="D272" s="17"/>
      <c r="E272" s="17" t="s">
        <v>379</v>
      </c>
      <c r="F272" s="53">
        <f>SUM(F273:F279)</f>
        <v>0</v>
      </c>
      <c r="G272" s="53">
        <f t="shared" ref="G272:L272" si="143">SUM(G273:G279)</f>
        <v>0</v>
      </c>
      <c r="H272" s="53">
        <f t="shared" si="143"/>
        <v>0</v>
      </c>
      <c r="I272" s="53">
        <f t="shared" si="143"/>
        <v>0</v>
      </c>
      <c r="J272" s="53">
        <f t="shared" si="143"/>
        <v>0</v>
      </c>
      <c r="K272" s="53">
        <f t="shared" si="143"/>
        <v>0</v>
      </c>
      <c r="L272" s="53">
        <f t="shared" si="143"/>
        <v>0</v>
      </c>
      <c r="M272" s="35">
        <f t="shared" si="131"/>
        <v>0</v>
      </c>
      <c r="N272" s="53"/>
    </row>
    <row r="273" spans="2:14" x14ac:dyDescent="0.3">
      <c r="B273" s="27"/>
      <c r="C273" s="17"/>
      <c r="D273" s="3">
        <v>2171</v>
      </c>
      <c r="E273" s="3" t="s">
        <v>380</v>
      </c>
      <c r="F273" s="35"/>
      <c r="G273" s="35"/>
      <c r="H273" s="35"/>
      <c r="I273" s="35"/>
      <c r="J273" s="35"/>
      <c r="K273" s="35"/>
      <c r="L273" s="35"/>
      <c r="M273" s="35">
        <f t="shared" si="131"/>
        <v>0</v>
      </c>
      <c r="N273" s="35" t="e">
        <f t="shared" ref="N273:N279" si="144">K273/I273</f>
        <v>#DIV/0!</v>
      </c>
    </row>
    <row r="274" spans="2:14" x14ac:dyDescent="0.3">
      <c r="B274" s="27"/>
      <c r="C274" s="17"/>
      <c r="D274" s="3">
        <v>2172</v>
      </c>
      <c r="E274" s="3" t="s">
        <v>381</v>
      </c>
      <c r="F274" s="35"/>
      <c r="G274" s="35"/>
      <c r="H274" s="35"/>
      <c r="I274" s="35"/>
      <c r="J274" s="35"/>
      <c r="K274" s="35"/>
      <c r="L274" s="35"/>
      <c r="M274" s="35">
        <f t="shared" si="131"/>
        <v>0</v>
      </c>
      <c r="N274" s="35" t="e">
        <f t="shared" si="144"/>
        <v>#DIV/0!</v>
      </c>
    </row>
    <row r="275" spans="2:14" x14ac:dyDescent="0.3">
      <c r="B275" s="27"/>
      <c r="C275" s="17"/>
      <c r="D275" s="3">
        <v>2173</v>
      </c>
      <c r="E275" s="3" t="s">
        <v>382</v>
      </c>
      <c r="F275" s="35"/>
      <c r="G275" s="35"/>
      <c r="H275" s="35"/>
      <c r="I275" s="35"/>
      <c r="J275" s="35"/>
      <c r="K275" s="35"/>
      <c r="L275" s="35"/>
      <c r="M275" s="35">
        <f t="shared" si="131"/>
        <v>0</v>
      </c>
      <c r="N275" s="35" t="e">
        <f t="shared" si="144"/>
        <v>#DIV/0!</v>
      </c>
    </row>
    <row r="276" spans="2:14" x14ac:dyDescent="0.3">
      <c r="B276" s="27"/>
      <c r="C276" s="17"/>
      <c r="D276" s="3">
        <v>2174</v>
      </c>
      <c r="E276" s="3" t="s">
        <v>383</v>
      </c>
      <c r="F276" s="35"/>
      <c r="G276" s="35"/>
      <c r="H276" s="35"/>
      <c r="I276" s="35"/>
      <c r="J276" s="35"/>
      <c r="K276" s="35"/>
      <c r="L276" s="35"/>
      <c r="M276" s="35">
        <f t="shared" si="131"/>
        <v>0</v>
      </c>
      <c r="N276" s="35" t="e">
        <f t="shared" si="144"/>
        <v>#DIV/0!</v>
      </c>
    </row>
    <row r="277" spans="2:14" x14ac:dyDescent="0.3">
      <c r="B277" s="27"/>
      <c r="C277" s="17"/>
      <c r="D277" s="3">
        <v>2175</v>
      </c>
      <c r="E277" s="3" t="s">
        <v>384</v>
      </c>
      <c r="F277" s="35"/>
      <c r="G277" s="35"/>
      <c r="H277" s="35"/>
      <c r="I277" s="35"/>
      <c r="J277" s="35"/>
      <c r="K277" s="35"/>
      <c r="L277" s="35"/>
      <c r="M277" s="35">
        <f t="shared" si="131"/>
        <v>0</v>
      </c>
      <c r="N277" s="35" t="e">
        <f t="shared" si="144"/>
        <v>#DIV/0!</v>
      </c>
    </row>
    <row r="278" spans="2:14" x14ac:dyDescent="0.3">
      <c r="B278" s="27"/>
      <c r="C278" s="17"/>
      <c r="D278" s="3">
        <v>2176</v>
      </c>
      <c r="E278" s="3" t="s">
        <v>385</v>
      </c>
      <c r="F278" s="35"/>
      <c r="G278" s="35"/>
      <c r="H278" s="35"/>
      <c r="I278" s="35"/>
      <c r="J278" s="35"/>
      <c r="K278" s="35"/>
      <c r="L278" s="35"/>
      <c r="M278" s="35">
        <f t="shared" si="131"/>
        <v>0</v>
      </c>
      <c r="N278" s="35" t="e">
        <f t="shared" si="144"/>
        <v>#DIV/0!</v>
      </c>
    </row>
    <row r="279" spans="2:14" x14ac:dyDescent="0.3">
      <c r="B279" s="27"/>
      <c r="C279" s="17"/>
      <c r="D279" s="3">
        <v>2178</v>
      </c>
      <c r="E279" s="3" t="s">
        <v>386</v>
      </c>
      <c r="F279" s="35"/>
      <c r="G279" s="35"/>
      <c r="H279" s="35"/>
      <c r="I279" s="35"/>
      <c r="J279" s="35"/>
      <c r="K279" s="35"/>
      <c r="L279" s="35"/>
      <c r="M279" s="35">
        <f t="shared" si="131"/>
        <v>0</v>
      </c>
      <c r="N279" s="35" t="e">
        <f t="shared" si="144"/>
        <v>#DIV/0!</v>
      </c>
    </row>
    <row r="280" spans="2:14" s="10" customFormat="1" x14ac:dyDescent="0.3">
      <c r="B280" s="27"/>
      <c r="C280" s="17">
        <v>218</v>
      </c>
      <c r="D280" s="17"/>
      <c r="E280" s="17" t="s">
        <v>131</v>
      </c>
      <c r="F280" s="53">
        <f>SUM(F281:F284)</f>
        <v>0</v>
      </c>
      <c r="G280" s="53">
        <f t="shared" ref="G280:L280" si="145">SUM(G281:G284)</f>
        <v>0</v>
      </c>
      <c r="H280" s="53">
        <f t="shared" si="145"/>
        <v>0</v>
      </c>
      <c r="I280" s="53">
        <f t="shared" si="145"/>
        <v>0</v>
      </c>
      <c r="J280" s="53">
        <f t="shared" si="145"/>
        <v>0</v>
      </c>
      <c r="K280" s="53">
        <f t="shared" si="145"/>
        <v>0</v>
      </c>
      <c r="L280" s="53">
        <f t="shared" si="145"/>
        <v>0</v>
      </c>
      <c r="M280" s="35">
        <f t="shared" si="131"/>
        <v>0</v>
      </c>
      <c r="N280" s="53"/>
    </row>
    <row r="281" spans="2:14" x14ac:dyDescent="0.3">
      <c r="B281" s="27"/>
      <c r="C281" s="17"/>
      <c r="D281" s="3">
        <v>2181</v>
      </c>
      <c r="E281" s="3" t="s">
        <v>387</v>
      </c>
      <c r="F281" s="35"/>
      <c r="G281" s="35"/>
      <c r="H281" s="35"/>
      <c r="I281" s="35"/>
      <c r="J281" s="35"/>
      <c r="K281" s="35"/>
      <c r="L281" s="35"/>
      <c r="M281" s="35">
        <f t="shared" si="131"/>
        <v>0</v>
      </c>
      <c r="N281" s="35" t="e">
        <f t="shared" ref="N281:N284" si="146">K281/I281</f>
        <v>#DIV/0!</v>
      </c>
    </row>
    <row r="282" spans="2:14" x14ac:dyDescent="0.3">
      <c r="B282" s="27"/>
      <c r="C282" s="17"/>
      <c r="D282" s="3">
        <v>2182</v>
      </c>
      <c r="E282" s="3" t="s">
        <v>388</v>
      </c>
      <c r="F282" s="35"/>
      <c r="G282" s="35"/>
      <c r="H282" s="35"/>
      <c r="I282" s="35"/>
      <c r="J282" s="35"/>
      <c r="K282" s="35"/>
      <c r="L282" s="35"/>
      <c r="M282" s="35">
        <f t="shared" si="131"/>
        <v>0</v>
      </c>
      <c r="N282" s="35" t="e">
        <f t="shared" si="146"/>
        <v>#DIV/0!</v>
      </c>
    </row>
    <row r="283" spans="2:14" x14ac:dyDescent="0.3">
      <c r="B283" s="27"/>
      <c r="C283" s="17"/>
      <c r="D283" s="3">
        <v>2183</v>
      </c>
      <c r="E283" s="3" t="s">
        <v>389</v>
      </c>
      <c r="F283" s="35"/>
      <c r="G283" s="35"/>
      <c r="H283" s="35"/>
      <c r="I283" s="35"/>
      <c r="J283" s="35"/>
      <c r="K283" s="35"/>
      <c r="L283" s="35"/>
      <c r="M283" s="35">
        <f t="shared" si="131"/>
        <v>0</v>
      </c>
      <c r="N283" s="35" t="e">
        <f t="shared" si="146"/>
        <v>#DIV/0!</v>
      </c>
    </row>
    <row r="284" spans="2:14" x14ac:dyDescent="0.3">
      <c r="B284" s="27"/>
      <c r="C284" s="17"/>
      <c r="D284" s="3">
        <v>2188</v>
      </c>
      <c r="E284" s="3" t="s">
        <v>131</v>
      </c>
      <c r="F284" s="35"/>
      <c r="G284" s="35"/>
      <c r="H284" s="35"/>
      <c r="I284" s="35"/>
      <c r="J284" s="35"/>
      <c r="K284" s="35"/>
      <c r="L284" s="35"/>
      <c r="M284" s="35">
        <f t="shared" si="131"/>
        <v>0</v>
      </c>
      <c r="N284" s="35" t="e">
        <f t="shared" si="146"/>
        <v>#DIV/0!</v>
      </c>
    </row>
    <row r="285" spans="2:14" s="10" customFormat="1" ht="30" customHeight="1" x14ac:dyDescent="0.3">
      <c r="B285" s="27"/>
      <c r="C285" s="17"/>
      <c r="D285" s="17"/>
      <c r="E285" s="2" t="s">
        <v>169</v>
      </c>
      <c r="F285" s="43">
        <f>F194+F208+F223</f>
        <v>0</v>
      </c>
      <c r="G285" s="43">
        <f t="shared" ref="G285:M285" si="147">G194+G208+G223</f>
        <v>0</v>
      </c>
      <c r="H285" s="43">
        <f t="shared" si="147"/>
        <v>0</v>
      </c>
      <c r="I285" s="43">
        <f t="shared" si="147"/>
        <v>0</v>
      </c>
      <c r="J285" s="43">
        <f t="shared" si="147"/>
        <v>0</v>
      </c>
      <c r="K285" s="43">
        <f t="shared" si="147"/>
        <v>0</v>
      </c>
      <c r="L285" s="43">
        <f t="shared" si="147"/>
        <v>0</v>
      </c>
      <c r="M285" s="43">
        <f t="shared" si="147"/>
        <v>0</v>
      </c>
      <c r="N285" s="43" t="e">
        <f>K285/I285</f>
        <v>#DIV/0!</v>
      </c>
    </row>
    <row r="286" spans="2:14" s="10" customFormat="1" ht="30" customHeight="1" x14ac:dyDescent="0.3">
      <c r="B286" s="27">
        <v>20</v>
      </c>
      <c r="C286" s="17"/>
      <c r="D286" s="17"/>
      <c r="E286" s="17" t="s">
        <v>167</v>
      </c>
      <c r="F286" s="43"/>
      <c r="G286" s="43"/>
      <c r="H286" s="43"/>
      <c r="I286" s="43"/>
      <c r="J286" s="43"/>
      <c r="K286" s="43"/>
      <c r="L286" s="43"/>
      <c r="M286" s="43">
        <f t="shared" si="131"/>
        <v>0</v>
      </c>
      <c r="N286" s="43"/>
    </row>
    <row r="287" spans="2:14" s="10" customFormat="1" ht="30" customHeight="1" x14ac:dyDescent="0.3">
      <c r="B287" s="27">
        <v>21</v>
      </c>
      <c r="C287" s="17"/>
      <c r="D287" s="17"/>
      <c r="E287" s="17" t="s">
        <v>168</v>
      </c>
      <c r="F287" s="43"/>
      <c r="G287" s="43"/>
      <c r="H287" s="43"/>
      <c r="I287" s="43"/>
      <c r="J287" s="43"/>
      <c r="K287" s="43"/>
      <c r="L287" s="43"/>
      <c r="M287" s="43">
        <f t="shared" si="131"/>
        <v>0</v>
      </c>
      <c r="N287" s="43"/>
    </row>
    <row r="288" spans="2:14" s="10" customFormat="1" ht="30" customHeight="1" x14ac:dyDescent="0.3">
      <c r="B288" s="27"/>
      <c r="C288" s="17"/>
      <c r="D288" s="17"/>
      <c r="E288" s="2" t="s">
        <v>170</v>
      </c>
      <c r="F288" s="43">
        <f>SUM(F286:F287)</f>
        <v>0</v>
      </c>
      <c r="G288" s="43">
        <f t="shared" ref="G288:L288" si="148">SUM(G286:G287)</f>
        <v>0</v>
      </c>
      <c r="H288" s="43">
        <f t="shared" si="148"/>
        <v>0</v>
      </c>
      <c r="I288" s="43">
        <f t="shared" si="148"/>
        <v>0</v>
      </c>
      <c r="J288" s="43">
        <f t="shared" si="148"/>
        <v>0</v>
      </c>
      <c r="K288" s="43">
        <f t="shared" si="148"/>
        <v>0</v>
      </c>
      <c r="L288" s="43">
        <f t="shared" si="148"/>
        <v>0</v>
      </c>
      <c r="M288" s="43">
        <f>SUM(M286:M287)</f>
        <v>0</v>
      </c>
      <c r="N288" s="43" t="e">
        <f>K288/I288</f>
        <v>#DIV/0!</v>
      </c>
    </row>
    <row r="289" spans="2:14" s="10" customFormat="1" ht="30" customHeight="1" x14ac:dyDescent="0.3">
      <c r="B289" s="27"/>
      <c r="C289" s="17"/>
      <c r="D289" s="17"/>
      <c r="E289" s="2" t="s">
        <v>103</v>
      </c>
      <c r="F289" s="43">
        <f>F285+F288</f>
        <v>0</v>
      </c>
      <c r="G289" s="43">
        <f t="shared" ref="G289:M289" si="149">G285+G288</f>
        <v>0</v>
      </c>
      <c r="H289" s="43">
        <f t="shared" si="149"/>
        <v>0</v>
      </c>
      <c r="I289" s="43">
        <f t="shared" si="149"/>
        <v>0</v>
      </c>
      <c r="J289" s="43">
        <f t="shared" si="149"/>
        <v>0</v>
      </c>
      <c r="K289" s="43">
        <f t="shared" si="149"/>
        <v>0</v>
      </c>
      <c r="L289" s="43">
        <f t="shared" si="149"/>
        <v>0</v>
      </c>
      <c r="M289" s="43">
        <f t="shared" si="149"/>
        <v>0</v>
      </c>
      <c r="N289" s="43" t="e">
        <f>K289/I289</f>
        <v>#DIV/0!</v>
      </c>
    </row>
  </sheetData>
  <mergeCells count="3">
    <mergeCell ref="B2:N2"/>
    <mergeCell ref="B8:N8"/>
    <mergeCell ref="B192:N19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02A8-9C5C-4811-AECC-120E4EA4DC9E}">
  <sheetPr>
    <tabColor theme="5" tint="0.59999389629810485"/>
  </sheetPr>
  <dimension ref="B2:N289"/>
  <sheetViews>
    <sheetView zoomScale="70" zoomScaleNormal="70" workbookViewId="0">
      <selection sqref="A1:XFD1048576"/>
    </sheetView>
  </sheetViews>
  <sheetFormatPr baseColWidth="10" defaultColWidth="11.5546875" defaultRowHeight="14.4" x14ac:dyDescent="0.3"/>
  <cols>
    <col min="1" max="1" width="11.5546875" style="8"/>
    <col min="2" max="2" width="8.5546875" style="9" bestFit="1" customWidth="1"/>
    <col min="3" max="3" width="4.44140625" style="10" bestFit="1" customWidth="1"/>
    <col min="4" max="4" width="5.5546875" style="8" bestFit="1" customWidth="1"/>
    <col min="5" max="5" width="61.5546875" style="8" bestFit="1" customWidth="1"/>
    <col min="6" max="6" width="17" style="51" customWidth="1"/>
    <col min="7" max="7" width="22.33203125" style="51" customWidth="1"/>
    <col min="8" max="8" width="16.44140625" style="51" customWidth="1"/>
    <col min="9" max="10" width="17.21875" style="51" customWidth="1"/>
    <col min="11" max="11" width="14.77734375" style="51" customWidth="1"/>
    <col min="12" max="12" width="18.44140625" style="51" customWidth="1"/>
    <col min="13" max="13" width="17.33203125" style="51" customWidth="1"/>
    <col min="14" max="14" width="21.33203125" style="51" customWidth="1"/>
    <col min="15" max="16384" width="11.5546875" style="8"/>
  </cols>
  <sheetData>
    <row r="2" spans="2:14" ht="18" x14ac:dyDescent="0.3">
      <c r="B2" s="70" t="s">
        <v>152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2:14" x14ac:dyDescent="0.3">
      <c r="F3" s="31"/>
      <c r="G3" s="39"/>
      <c r="H3" s="39"/>
      <c r="I3" s="39"/>
      <c r="J3" s="39"/>
      <c r="K3" s="31"/>
      <c r="L3" s="31"/>
      <c r="M3" s="31"/>
    </row>
    <row r="4" spans="2:14" x14ac:dyDescent="0.3">
      <c r="E4" s="10" t="s">
        <v>147</v>
      </c>
      <c r="F4" s="31"/>
      <c r="G4" s="31"/>
      <c r="H4" s="40"/>
      <c r="I4" s="31"/>
      <c r="J4" s="31"/>
      <c r="K4" s="31"/>
      <c r="L4" s="31"/>
      <c r="M4" s="31"/>
    </row>
    <row r="5" spans="2:14" x14ac:dyDescent="0.3">
      <c r="E5" s="10"/>
      <c r="F5" s="32"/>
      <c r="G5" s="32"/>
      <c r="H5" s="39"/>
      <c r="I5" s="32"/>
      <c r="J5" s="32"/>
      <c r="K5" s="32"/>
      <c r="L5" s="32"/>
      <c r="M5" s="32"/>
      <c r="N5" s="52"/>
    </row>
    <row r="6" spans="2:14" ht="28.95" customHeight="1" x14ac:dyDescent="0.3">
      <c r="E6" s="50" t="s">
        <v>419</v>
      </c>
      <c r="F6" s="32"/>
      <c r="G6" s="32"/>
      <c r="H6" s="39"/>
      <c r="I6" s="32"/>
      <c r="J6" s="32"/>
      <c r="K6" s="32"/>
      <c r="L6" s="32"/>
      <c r="M6" s="32"/>
      <c r="N6" s="52"/>
    </row>
    <row r="7" spans="2:14" x14ac:dyDescent="0.3">
      <c r="F7" s="32"/>
      <c r="G7" s="32"/>
      <c r="H7" s="39"/>
      <c r="I7" s="32"/>
      <c r="J7" s="32"/>
      <c r="K7" s="32"/>
      <c r="L7" s="32"/>
      <c r="M7" s="32"/>
      <c r="N7" s="52"/>
    </row>
    <row r="8" spans="2:14" ht="28.95" customHeight="1" x14ac:dyDescent="0.3">
      <c r="B8" s="71" t="s">
        <v>164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</row>
    <row r="9" spans="2:14" s="11" customFormat="1" ht="28.8" x14ac:dyDescent="0.3">
      <c r="B9" s="26" t="s">
        <v>138</v>
      </c>
      <c r="C9" s="44"/>
      <c r="D9" s="48"/>
      <c r="E9" s="45" t="s">
        <v>150</v>
      </c>
      <c r="F9" s="41" t="s">
        <v>139</v>
      </c>
      <c r="G9" s="41" t="s">
        <v>140</v>
      </c>
      <c r="H9" s="41" t="s">
        <v>141</v>
      </c>
      <c r="I9" s="41" t="s">
        <v>142</v>
      </c>
      <c r="J9" s="41" t="s">
        <v>171</v>
      </c>
      <c r="K9" s="41" t="s">
        <v>172</v>
      </c>
      <c r="L9" s="41" t="s">
        <v>173</v>
      </c>
      <c r="M9" s="41" t="s">
        <v>174</v>
      </c>
      <c r="N9" s="41" t="s">
        <v>396</v>
      </c>
    </row>
    <row r="10" spans="2:14" s="10" customFormat="1" ht="30" customHeight="1" x14ac:dyDescent="0.3">
      <c r="B10" s="27">
        <v>60</v>
      </c>
      <c r="C10" s="17"/>
      <c r="D10" s="17"/>
      <c r="E10" s="17" t="s">
        <v>153</v>
      </c>
      <c r="F10" s="43">
        <f>SUM(F11,F14,F17,F20,F23)</f>
        <v>0</v>
      </c>
      <c r="G10" s="43">
        <f t="shared" ref="G10:M10" si="0">SUM(G11,G14,G17,G20,G23)</f>
        <v>0</v>
      </c>
      <c r="H10" s="43">
        <f t="shared" si="0"/>
        <v>0</v>
      </c>
      <c r="I10" s="43">
        <f t="shared" si="0"/>
        <v>0</v>
      </c>
      <c r="J10" s="43">
        <f t="shared" si="0"/>
        <v>0</v>
      </c>
      <c r="K10" s="43">
        <f t="shared" si="0"/>
        <v>0</v>
      </c>
      <c r="L10" s="43">
        <f t="shared" si="0"/>
        <v>0</v>
      </c>
      <c r="M10" s="43">
        <f t="shared" si="0"/>
        <v>0</v>
      </c>
      <c r="N10" s="43" t="e">
        <f>K10/I10</f>
        <v>#DIV/0!</v>
      </c>
    </row>
    <row r="11" spans="2:14" s="10" customFormat="1" x14ac:dyDescent="0.3">
      <c r="B11" s="27"/>
      <c r="C11" s="17">
        <v>601</v>
      </c>
      <c r="D11" s="3"/>
      <c r="E11" s="17" t="s">
        <v>175</v>
      </c>
      <c r="F11" s="43">
        <f>SUM(F12:F13)</f>
        <v>0</v>
      </c>
      <c r="G11" s="43">
        <f t="shared" ref="G11:L11" si="1">SUM(G12:G13)</f>
        <v>0</v>
      </c>
      <c r="H11" s="43">
        <f t="shared" si="1"/>
        <v>0</v>
      </c>
      <c r="I11" s="43">
        <f t="shared" si="1"/>
        <v>0</v>
      </c>
      <c r="J11" s="43">
        <f t="shared" si="1"/>
        <v>0</v>
      </c>
      <c r="K11" s="43">
        <f t="shared" si="1"/>
        <v>0</v>
      </c>
      <c r="L11" s="43">
        <f t="shared" si="1"/>
        <v>0</v>
      </c>
      <c r="M11" s="35">
        <f t="shared" ref="M11:M25" si="2">K11-L11</f>
        <v>0</v>
      </c>
      <c r="N11" s="43"/>
    </row>
    <row r="12" spans="2:14" x14ac:dyDescent="0.3">
      <c r="B12" s="27"/>
      <c r="C12" s="17"/>
      <c r="D12" s="3">
        <v>6011</v>
      </c>
      <c r="E12" s="3" t="s">
        <v>176</v>
      </c>
      <c r="F12" s="35"/>
      <c r="G12" s="35"/>
      <c r="H12" s="35"/>
      <c r="I12" s="35"/>
      <c r="J12" s="35"/>
      <c r="K12" s="35"/>
      <c r="L12" s="35"/>
      <c r="M12" s="35">
        <f t="shared" si="2"/>
        <v>0</v>
      </c>
      <c r="N12" s="35" t="e">
        <f>K12/I12</f>
        <v>#DIV/0!</v>
      </c>
    </row>
    <row r="13" spans="2:14" x14ac:dyDescent="0.3">
      <c r="B13" s="27"/>
      <c r="C13" s="17"/>
      <c r="D13" s="3">
        <v>6012</v>
      </c>
      <c r="E13" s="3" t="s">
        <v>177</v>
      </c>
      <c r="F13" s="35"/>
      <c r="G13" s="35"/>
      <c r="H13" s="35"/>
      <c r="I13" s="35"/>
      <c r="J13" s="35"/>
      <c r="K13" s="35"/>
      <c r="L13" s="35"/>
      <c r="M13" s="35">
        <f t="shared" si="2"/>
        <v>0</v>
      </c>
      <c r="N13" s="35" t="e">
        <f>K13/I13</f>
        <v>#DIV/0!</v>
      </c>
    </row>
    <row r="14" spans="2:14" s="10" customFormat="1" x14ac:dyDescent="0.3">
      <c r="B14" s="27"/>
      <c r="C14" s="17">
        <v>602</v>
      </c>
      <c r="D14" s="3"/>
      <c r="E14" s="17" t="s">
        <v>178</v>
      </c>
      <c r="F14" s="43">
        <f>SUM(F15:F16)</f>
        <v>0</v>
      </c>
      <c r="G14" s="43">
        <f t="shared" ref="G14:L14" si="3">SUM(G15:G16)</f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43">
        <f t="shared" si="3"/>
        <v>0</v>
      </c>
      <c r="L14" s="43">
        <f t="shared" si="3"/>
        <v>0</v>
      </c>
      <c r="M14" s="35">
        <f t="shared" si="2"/>
        <v>0</v>
      </c>
      <c r="N14" s="43"/>
    </row>
    <row r="15" spans="2:14" x14ac:dyDescent="0.3">
      <c r="B15" s="27"/>
      <c r="C15" s="17"/>
      <c r="D15" s="3">
        <v>6021</v>
      </c>
      <c r="E15" s="3" t="s">
        <v>176</v>
      </c>
      <c r="F15" s="35"/>
      <c r="G15" s="35"/>
      <c r="H15" s="35"/>
      <c r="I15" s="35"/>
      <c r="J15" s="35"/>
      <c r="K15" s="35"/>
      <c r="L15" s="35"/>
      <c r="M15" s="35">
        <f t="shared" si="2"/>
        <v>0</v>
      </c>
      <c r="N15" s="35" t="e">
        <f t="shared" ref="N15:N16" si="4">K15/I15</f>
        <v>#DIV/0!</v>
      </c>
    </row>
    <row r="16" spans="2:14" x14ac:dyDescent="0.3">
      <c r="B16" s="27"/>
      <c r="C16" s="17"/>
      <c r="D16" s="3">
        <v>6022</v>
      </c>
      <c r="E16" s="3" t="s">
        <v>177</v>
      </c>
      <c r="F16" s="35"/>
      <c r="G16" s="35"/>
      <c r="H16" s="35"/>
      <c r="I16" s="35"/>
      <c r="J16" s="35"/>
      <c r="K16" s="35"/>
      <c r="L16" s="35"/>
      <c r="M16" s="35">
        <f t="shared" si="2"/>
        <v>0</v>
      </c>
      <c r="N16" s="35" t="e">
        <f t="shared" si="4"/>
        <v>#DIV/0!</v>
      </c>
    </row>
    <row r="17" spans="2:14" s="10" customFormat="1" x14ac:dyDescent="0.3">
      <c r="B17" s="27"/>
      <c r="C17" s="17">
        <v>603</v>
      </c>
      <c r="D17" s="3"/>
      <c r="E17" s="17" t="s">
        <v>179</v>
      </c>
      <c r="F17" s="43">
        <f>SUM(F18:F19)</f>
        <v>0</v>
      </c>
      <c r="G17" s="43">
        <f t="shared" ref="G17:L17" si="5">SUM(G18:G19)</f>
        <v>0</v>
      </c>
      <c r="H17" s="43">
        <f t="shared" si="5"/>
        <v>0</v>
      </c>
      <c r="I17" s="43">
        <f t="shared" si="5"/>
        <v>0</v>
      </c>
      <c r="J17" s="43">
        <f t="shared" si="5"/>
        <v>0</v>
      </c>
      <c r="K17" s="43">
        <f t="shared" si="5"/>
        <v>0</v>
      </c>
      <c r="L17" s="43">
        <f t="shared" si="5"/>
        <v>0</v>
      </c>
      <c r="M17" s="35">
        <f t="shared" si="2"/>
        <v>0</v>
      </c>
      <c r="N17" s="43"/>
    </row>
    <row r="18" spans="2:14" x14ac:dyDescent="0.3">
      <c r="B18" s="27"/>
      <c r="C18" s="17"/>
      <c r="D18" s="3">
        <v>6031</v>
      </c>
      <c r="E18" s="3" t="s">
        <v>176</v>
      </c>
      <c r="F18" s="35"/>
      <c r="G18" s="35"/>
      <c r="H18" s="35"/>
      <c r="I18" s="35"/>
      <c r="J18" s="35"/>
      <c r="K18" s="35"/>
      <c r="L18" s="35"/>
      <c r="M18" s="35">
        <f t="shared" si="2"/>
        <v>0</v>
      </c>
      <c r="N18" s="35" t="e">
        <f t="shared" ref="N18:N19" si="6">K18/I18</f>
        <v>#DIV/0!</v>
      </c>
    </row>
    <row r="19" spans="2:14" x14ac:dyDescent="0.3">
      <c r="B19" s="27"/>
      <c r="C19" s="17"/>
      <c r="D19" s="3">
        <v>6032</v>
      </c>
      <c r="E19" s="3" t="s">
        <v>177</v>
      </c>
      <c r="F19" s="35"/>
      <c r="G19" s="35"/>
      <c r="H19" s="35"/>
      <c r="I19" s="35"/>
      <c r="J19" s="35"/>
      <c r="K19" s="35"/>
      <c r="L19" s="35"/>
      <c r="M19" s="35">
        <f t="shared" si="2"/>
        <v>0</v>
      </c>
      <c r="N19" s="35" t="e">
        <f t="shared" si="6"/>
        <v>#DIV/0!</v>
      </c>
    </row>
    <row r="20" spans="2:14" s="10" customFormat="1" x14ac:dyDescent="0.3">
      <c r="B20" s="27"/>
      <c r="C20" s="17">
        <v>604</v>
      </c>
      <c r="D20" s="3"/>
      <c r="E20" s="17" t="s">
        <v>180</v>
      </c>
      <c r="F20" s="43">
        <f>SUM(F21:F22)</f>
        <v>0</v>
      </c>
      <c r="G20" s="43">
        <f t="shared" ref="G20:L20" si="7">SUM(G21:G22)</f>
        <v>0</v>
      </c>
      <c r="H20" s="43">
        <f t="shared" si="7"/>
        <v>0</v>
      </c>
      <c r="I20" s="43">
        <f t="shared" si="7"/>
        <v>0</v>
      </c>
      <c r="J20" s="43">
        <f t="shared" si="7"/>
        <v>0</v>
      </c>
      <c r="K20" s="43">
        <f t="shared" si="7"/>
        <v>0</v>
      </c>
      <c r="L20" s="43">
        <f t="shared" si="7"/>
        <v>0</v>
      </c>
      <c r="M20" s="35">
        <f t="shared" si="2"/>
        <v>0</v>
      </c>
      <c r="N20" s="43"/>
    </row>
    <row r="21" spans="2:14" x14ac:dyDescent="0.3">
      <c r="B21" s="27"/>
      <c r="C21" s="17"/>
      <c r="D21" s="3">
        <v>6041</v>
      </c>
      <c r="E21" s="3" t="s">
        <v>176</v>
      </c>
      <c r="F21" s="35"/>
      <c r="G21" s="35"/>
      <c r="H21" s="35"/>
      <c r="I21" s="35"/>
      <c r="J21" s="35"/>
      <c r="K21" s="35"/>
      <c r="L21" s="35"/>
      <c r="M21" s="35">
        <f t="shared" si="2"/>
        <v>0</v>
      </c>
      <c r="N21" s="35" t="e">
        <f t="shared" ref="N21:N22" si="8">K21/I21</f>
        <v>#DIV/0!</v>
      </c>
    </row>
    <row r="22" spans="2:14" x14ac:dyDescent="0.3">
      <c r="B22" s="27"/>
      <c r="C22" s="17"/>
      <c r="D22" s="3">
        <v>6042</v>
      </c>
      <c r="E22" s="3" t="s">
        <v>177</v>
      </c>
      <c r="F22" s="35"/>
      <c r="G22" s="35"/>
      <c r="H22" s="35"/>
      <c r="I22" s="35"/>
      <c r="J22" s="35"/>
      <c r="K22" s="35"/>
      <c r="L22" s="35"/>
      <c r="M22" s="35">
        <f t="shared" si="2"/>
        <v>0</v>
      </c>
      <c r="N22" s="35" t="e">
        <f t="shared" si="8"/>
        <v>#DIV/0!</v>
      </c>
    </row>
    <row r="23" spans="2:14" s="10" customFormat="1" x14ac:dyDescent="0.3">
      <c r="B23" s="27"/>
      <c r="C23" s="17">
        <v>606</v>
      </c>
      <c r="D23" s="3"/>
      <c r="E23" s="17" t="s">
        <v>181</v>
      </c>
      <c r="F23" s="43">
        <f>SUM(F24:F28)</f>
        <v>0</v>
      </c>
      <c r="G23" s="43">
        <f t="shared" ref="G23:L23" si="9">SUM(G24:G28)</f>
        <v>0</v>
      </c>
      <c r="H23" s="43">
        <f t="shared" si="9"/>
        <v>0</v>
      </c>
      <c r="I23" s="43">
        <f t="shared" si="9"/>
        <v>0</v>
      </c>
      <c r="J23" s="43">
        <f t="shared" si="9"/>
        <v>0</v>
      </c>
      <c r="K23" s="43">
        <f t="shared" si="9"/>
        <v>0</v>
      </c>
      <c r="L23" s="43">
        <f t="shared" si="9"/>
        <v>0</v>
      </c>
      <c r="M23" s="35">
        <f t="shared" si="2"/>
        <v>0</v>
      </c>
      <c r="N23" s="43"/>
    </row>
    <row r="24" spans="2:14" x14ac:dyDescent="0.3">
      <c r="B24" s="27"/>
      <c r="C24" s="17"/>
      <c r="D24" s="3">
        <v>6061</v>
      </c>
      <c r="E24" s="3" t="s">
        <v>183</v>
      </c>
      <c r="F24" s="35"/>
      <c r="G24" s="35"/>
      <c r="H24" s="35"/>
      <c r="I24" s="35"/>
      <c r="J24" s="35"/>
      <c r="K24" s="35"/>
      <c r="L24" s="35"/>
      <c r="M24" s="35">
        <f t="shared" si="2"/>
        <v>0</v>
      </c>
      <c r="N24" s="35" t="e">
        <f t="shared" ref="N24:N28" si="10">K24/I24</f>
        <v>#DIV/0!</v>
      </c>
    </row>
    <row r="25" spans="2:14" x14ac:dyDescent="0.3">
      <c r="B25" s="27"/>
      <c r="C25" s="17"/>
      <c r="D25" s="3">
        <v>6062</v>
      </c>
      <c r="E25" s="3" t="s">
        <v>182</v>
      </c>
      <c r="F25" s="35"/>
      <c r="G25" s="35"/>
      <c r="H25" s="35"/>
      <c r="I25" s="35"/>
      <c r="J25" s="35"/>
      <c r="K25" s="35"/>
      <c r="L25" s="35"/>
      <c r="M25" s="35">
        <f t="shared" si="2"/>
        <v>0</v>
      </c>
      <c r="N25" s="35" t="e">
        <f t="shared" si="10"/>
        <v>#DIV/0!</v>
      </c>
    </row>
    <row r="26" spans="2:14" x14ac:dyDescent="0.3">
      <c r="B26" s="27"/>
      <c r="C26" s="17"/>
      <c r="D26" s="3">
        <v>6063</v>
      </c>
      <c r="E26" s="3" t="s">
        <v>184</v>
      </c>
      <c r="F26" s="35"/>
      <c r="G26" s="35"/>
      <c r="H26" s="35"/>
      <c r="I26" s="35"/>
      <c r="J26" s="35"/>
      <c r="K26" s="35"/>
      <c r="L26" s="35"/>
      <c r="M26" s="35">
        <f t="shared" ref="M26:M28" si="11">K26-L26</f>
        <v>0</v>
      </c>
      <c r="N26" s="35" t="e">
        <f t="shared" si="10"/>
        <v>#DIV/0!</v>
      </c>
    </row>
    <row r="27" spans="2:14" x14ac:dyDescent="0.3">
      <c r="B27" s="27"/>
      <c r="C27" s="17"/>
      <c r="D27" s="3">
        <v>6064</v>
      </c>
      <c r="E27" s="3" t="s">
        <v>185</v>
      </c>
      <c r="F27" s="35"/>
      <c r="G27" s="35"/>
      <c r="H27" s="35"/>
      <c r="I27" s="35"/>
      <c r="J27" s="35"/>
      <c r="K27" s="35"/>
      <c r="L27" s="35"/>
      <c r="M27" s="35">
        <f t="shared" si="11"/>
        <v>0</v>
      </c>
      <c r="N27" s="35" t="e">
        <f t="shared" si="10"/>
        <v>#DIV/0!</v>
      </c>
    </row>
    <row r="28" spans="2:14" x14ac:dyDescent="0.3">
      <c r="B28" s="27"/>
      <c r="C28" s="17"/>
      <c r="D28" s="3">
        <v>6068</v>
      </c>
      <c r="E28" s="3" t="s">
        <v>186</v>
      </c>
      <c r="F28" s="35"/>
      <c r="G28" s="35"/>
      <c r="H28" s="35"/>
      <c r="I28" s="35"/>
      <c r="J28" s="35"/>
      <c r="K28" s="35"/>
      <c r="L28" s="35"/>
      <c r="M28" s="35">
        <f t="shared" si="11"/>
        <v>0</v>
      </c>
      <c r="N28" s="35" t="e">
        <f t="shared" si="10"/>
        <v>#DIV/0!</v>
      </c>
    </row>
    <row r="29" spans="2:14" s="10" customFormat="1" ht="30" customHeight="1" x14ac:dyDescent="0.3">
      <c r="B29" s="27">
        <v>61</v>
      </c>
      <c r="C29" s="17"/>
      <c r="D29" s="17"/>
      <c r="E29" s="17" t="s">
        <v>154</v>
      </c>
      <c r="F29" s="43">
        <f>SUM(F30,F38,F47,F51,F56)</f>
        <v>0</v>
      </c>
      <c r="G29" s="43">
        <f t="shared" ref="G29:M29" si="12">SUM(G30,G38,G47,G51,G56)</f>
        <v>0</v>
      </c>
      <c r="H29" s="43">
        <f t="shared" si="12"/>
        <v>0</v>
      </c>
      <c r="I29" s="43">
        <f t="shared" si="12"/>
        <v>0</v>
      </c>
      <c r="J29" s="43">
        <f t="shared" si="12"/>
        <v>0</v>
      </c>
      <c r="K29" s="43">
        <f t="shared" si="12"/>
        <v>0</v>
      </c>
      <c r="L29" s="43">
        <f t="shared" si="12"/>
        <v>0</v>
      </c>
      <c r="M29" s="43">
        <f t="shared" si="12"/>
        <v>0</v>
      </c>
      <c r="N29" s="43" t="e">
        <f>K29/I29</f>
        <v>#DIV/0!</v>
      </c>
    </row>
    <row r="30" spans="2:14" s="10" customFormat="1" x14ac:dyDescent="0.3">
      <c r="B30" s="27"/>
      <c r="C30" s="17">
        <v>611</v>
      </c>
      <c r="D30" s="3"/>
      <c r="E30" s="17" t="s">
        <v>187</v>
      </c>
      <c r="F30" s="43">
        <f>SUM(F31:F37)</f>
        <v>0</v>
      </c>
      <c r="G30" s="43">
        <f t="shared" ref="G30:L30" si="13">SUM(G31:G37)</f>
        <v>0</v>
      </c>
      <c r="H30" s="43">
        <f t="shared" si="13"/>
        <v>0</v>
      </c>
      <c r="I30" s="43">
        <f t="shared" si="13"/>
        <v>0</v>
      </c>
      <c r="J30" s="43">
        <f t="shared" si="13"/>
        <v>0</v>
      </c>
      <c r="K30" s="43">
        <f t="shared" si="13"/>
        <v>0</v>
      </c>
      <c r="L30" s="43">
        <f t="shared" si="13"/>
        <v>0</v>
      </c>
      <c r="M30" s="35">
        <f t="shared" ref="M30:M59" si="14">K30-L30</f>
        <v>0</v>
      </c>
      <c r="N30" s="43"/>
    </row>
    <row r="31" spans="2:14" x14ac:dyDescent="0.3">
      <c r="B31" s="27"/>
      <c r="C31" s="17"/>
      <c r="D31" s="3">
        <v>6111</v>
      </c>
      <c r="E31" s="3" t="s">
        <v>188</v>
      </c>
      <c r="F31" s="35"/>
      <c r="G31" s="35"/>
      <c r="H31" s="35"/>
      <c r="I31" s="35"/>
      <c r="J31" s="35"/>
      <c r="K31" s="35"/>
      <c r="L31" s="35"/>
      <c r="M31" s="35">
        <f t="shared" si="14"/>
        <v>0</v>
      </c>
      <c r="N31" s="35" t="e">
        <f t="shared" ref="N31:N37" si="15">K31/I31</f>
        <v>#DIV/0!</v>
      </c>
    </row>
    <row r="32" spans="2:14" x14ac:dyDescent="0.3">
      <c r="B32" s="27"/>
      <c r="C32" s="17"/>
      <c r="D32" s="3">
        <v>6112</v>
      </c>
      <c r="E32" s="3" t="s">
        <v>189</v>
      </c>
      <c r="F32" s="35"/>
      <c r="G32" s="35"/>
      <c r="H32" s="35"/>
      <c r="I32" s="35"/>
      <c r="J32" s="35"/>
      <c r="K32" s="35"/>
      <c r="L32" s="35"/>
      <c r="M32" s="35">
        <f t="shared" si="14"/>
        <v>0</v>
      </c>
      <c r="N32" s="35" t="e">
        <f t="shared" si="15"/>
        <v>#DIV/0!</v>
      </c>
    </row>
    <row r="33" spans="2:14" x14ac:dyDescent="0.3">
      <c r="B33" s="27"/>
      <c r="C33" s="17"/>
      <c r="D33" s="3">
        <v>6113</v>
      </c>
      <c r="E33" s="3" t="s">
        <v>190</v>
      </c>
      <c r="F33" s="35"/>
      <c r="G33" s="35"/>
      <c r="H33" s="35"/>
      <c r="I33" s="35"/>
      <c r="J33" s="35"/>
      <c r="K33" s="35"/>
      <c r="L33" s="35"/>
      <c r="M33" s="35">
        <f t="shared" si="14"/>
        <v>0</v>
      </c>
      <c r="N33" s="35" t="e">
        <f t="shared" si="15"/>
        <v>#DIV/0!</v>
      </c>
    </row>
    <row r="34" spans="2:14" x14ac:dyDescent="0.3">
      <c r="B34" s="27"/>
      <c r="C34" s="17"/>
      <c r="D34" s="3">
        <v>6114</v>
      </c>
      <c r="E34" s="3" t="s">
        <v>191</v>
      </c>
      <c r="F34" s="35"/>
      <c r="G34" s="35"/>
      <c r="H34" s="35"/>
      <c r="I34" s="35"/>
      <c r="J34" s="35"/>
      <c r="K34" s="35"/>
      <c r="L34" s="35"/>
      <c r="M34" s="35">
        <f t="shared" si="14"/>
        <v>0</v>
      </c>
      <c r="N34" s="35" t="e">
        <f t="shared" si="15"/>
        <v>#DIV/0!</v>
      </c>
    </row>
    <row r="35" spans="2:14" x14ac:dyDescent="0.3">
      <c r="B35" s="27"/>
      <c r="C35" s="17"/>
      <c r="D35" s="3">
        <v>6115</v>
      </c>
      <c r="E35" s="3" t="s">
        <v>192</v>
      </c>
      <c r="F35" s="35"/>
      <c r="G35" s="35"/>
      <c r="H35" s="35"/>
      <c r="I35" s="35"/>
      <c r="J35" s="35"/>
      <c r="K35" s="35"/>
      <c r="L35" s="35"/>
      <c r="M35" s="35">
        <f t="shared" si="14"/>
        <v>0</v>
      </c>
      <c r="N35" s="35" t="e">
        <f t="shared" si="15"/>
        <v>#DIV/0!</v>
      </c>
    </row>
    <row r="36" spans="2:14" x14ac:dyDescent="0.3">
      <c r="B36" s="27"/>
      <c r="C36" s="17"/>
      <c r="D36" s="3">
        <v>6116</v>
      </c>
      <c r="E36" s="3" t="s">
        <v>193</v>
      </c>
      <c r="F36" s="35"/>
      <c r="G36" s="35"/>
      <c r="H36" s="35"/>
      <c r="I36" s="35"/>
      <c r="J36" s="35"/>
      <c r="K36" s="35"/>
      <c r="L36" s="35"/>
      <c r="M36" s="35">
        <f t="shared" si="14"/>
        <v>0</v>
      </c>
      <c r="N36" s="35" t="e">
        <f t="shared" si="15"/>
        <v>#DIV/0!</v>
      </c>
    </row>
    <row r="37" spans="2:14" x14ac:dyDescent="0.3">
      <c r="B37" s="27"/>
      <c r="C37" s="17"/>
      <c r="D37" s="3">
        <v>6117</v>
      </c>
      <c r="E37" s="3" t="s">
        <v>194</v>
      </c>
      <c r="F37" s="35"/>
      <c r="G37" s="35"/>
      <c r="H37" s="35"/>
      <c r="I37" s="35"/>
      <c r="J37" s="35"/>
      <c r="K37" s="35"/>
      <c r="L37" s="35"/>
      <c r="M37" s="35">
        <f t="shared" si="14"/>
        <v>0</v>
      </c>
      <c r="N37" s="35" t="e">
        <f t="shared" si="15"/>
        <v>#DIV/0!</v>
      </c>
    </row>
    <row r="38" spans="2:14" s="10" customFormat="1" x14ac:dyDescent="0.3">
      <c r="B38" s="27"/>
      <c r="C38" s="17">
        <v>612</v>
      </c>
      <c r="D38" s="3"/>
      <c r="E38" s="17" t="s">
        <v>195</v>
      </c>
      <c r="F38" s="43">
        <f>SUM(F39:F46)</f>
        <v>0</v>
      </c>
      <c r="G38" s="43">
        <f t="shared" ref="G38:L38" si="16">SUM(G39:G46)</f>
        <v>0</v>
      </c>
      <c r="H38" s="43">
        <f t="shared" si="16"/>
        <v>0</v>
      </c>
      <c r="I38" s="43">
        <f t="shared" si="16"/>
        <v>0</v>
      </c>
      <c r="J38" s="43">
        <f t="shared" si="16"/>
        <v>0</v>
      </c>
      <c r="K38" s="43">
        <f t="shared" si="16"/>
        <v>0</v>
      </c>
      <c r="L38" s="43">
        <f t="shared" si="16"/>
        <v>0</v>
      </c>
      <c r="M38" s="35">
        <f t="shared" si="14"/>
        <v>0</v>
      </c>
      <c r="N38" s="43"/>
    </row>
    <row r="39" spans="2:14" x14ac:dyDescent="0.3">
      <c r="B39" s="27"/>
      <c r="C39" s="17"/>
      <c r="D39" s="3">
        <v>6121</v>
      </c>
      <c r="E39" s="3" t="s">
        <v>196</v>
      </c>
      <c r="F39" s="35"/>
      <c r="G39" s="35"/>
      <c r="H39" s="35"/>
      <c r="I39" s="35"/>
      <c r="J39" s="35"/>
      <c r="K39" s="35"/>
      <c r="L39" s="35"/>
      <c r="M39" s="35">
        <f t="shared" si="14"/>
        <v>0</v>
      </c>
      <c r="N39" s="35" t="e">
        <f t="shared" ref="N39:N46" si="17">K39/I39</f>
        <v>#DIV/0!</v>
      </c>
    </row>
    <row r="40" spans="2:14" x14ac:dyDescent="0.3">
      <c r="B40" s="27"/>
      <c r="C40" s="17"/>
      <c r="D40" s="3">
        <v>6122</v>
      </c>
      <c r="E40" s="3" t="s">
        <v>197</v>
      </c>
      <c r="F40" s="35"/>
      <c r="G40" s="35"/>
      <c r="H40" s="35"/>
      <c r="I40" s="35"/>
      <c r="J40" s="35"/>
      <c r="K40" s="35"/>
      <c r="L40" s="35"/>
      <c r="M40" s="35">
        <f t="shared" si="14"/>
        <v>0</v>
      </c>
      <c r="N40" s="35" t="e">
        <f t="shared" si="17"/>
        <v>#DIV/0!</v>
      </c>
    </row>
    <row r="41" spans="2:14" x14ac:dyDescent="0.3">
      <c r="B41" s="27"/>
      <c r="C41" s="17"/>
      <c r="D41" s="3">
        <v>6123</v>
      </c>
      <c r="E41" s="3" t="s">
        <v>198</v>
      </c>
      <c r="F41" s="35"/>
      <c r="G41" s="35"/>
      <c r="H41" s="35"/>
      <c r="I41" s="35"/>
      <c r="J41" s="35"/>
      <c r="K41" s="35"/>
      <c r="L41" s="35"/>
      <c r="M41" s="35">
        <f t="shared" si="14"/>
        <v>0</v>
      </c>
      <c r="N41" s="35" t="e">
        <f t="shared" si="17"/>
        <v>#DIV/0!</v>
      </c>
    </row>
    <row r="42" spans="2:14" x14ac:dyDescent="0.3">
      <c r="B42" s="27"/>
      <c r="C42" s="17"/>
      <c r="D42" s="3">
        <v>6124</v>
      </c>
      <c r="E42" s="3" t="s">
        <v>199</v>
      </c>
      <c r="F42" s="35"/>
      <c r="G42" s="35"/>
      <c r="H42" s="35"/>
      <c r="I42" s="35"/>
      <c r="J42" s="35"/>
      <c r="K42" s="35"/>
      <c r="L42" s="35"/>
      <c r="M42" s="35">
        <f t="shared" si="14"/>
        <v>0</v>
      </c>
      <c r="N42" s="35" t="e">
        <f t="shared" si="17"/>
        <v>#DIV/0!</v>
      </c>
    </row>
    <row r="43" spans="2:14" x14ac:dyDescent="0.3">
      <c r="B43" s="27"/>
      <c r="C43" s="17"/>
      <c r="D43" s="3">
        <v>6125</v>
      </c>
      <c r="E43" s="3" t="s">
        <v>200</v>
      </c>
      <c r="F43" s="35"/>
      <c r="G43" s="35"/>
      <c r="H43" s="35"/>
      <c r="I43" s="35"/>
      <c r="J43" s="35"/>
      <c r="K43" s="35"/>
      <c r="L43" s="35"/>
      <c r="M43" s="35">
        <f t="shared" si="14"/>
        <v>0</v>
      </c>
      <c r="N43" s="35" t="e">
        <f t="shared" si="17"/>
        <v>#DIV/0!</v>
      </c>
    </row>
    <row r="44" spans="2:14" x14ac:dyDescent="0.3">
      <c r="B44" s="27"/>
      <c r="C44" s="17"/>
      <c r="D44" s="3">
        <v>6126</v>
      </c>
      <c r="E44" s="3" t="s">
        <v>201</v>
      </c>
      <c r="F44" s="35"/>
      <c r="G44" s="35"/>
      <c r="H44" s="35"/>
      <c r="I44" s="35"/>
      <c r="J44" s="35"/>
      <c r="K44" s="35"/>
      <c r="L44" s="35"/>
      <c r="M44" s="35">
        <f t="shared" si="14"/>
        <v>0</v>
      </c>
      <c r="N44" s="35" t="e">
        <f t="shared" si="17"/>
        <v>#DIV/0!</v>
      </c>
    </row>
    <row r="45" spans="2:14" x14ac:dyDescent="0.3">
      <c r="B45" s="27"/>
      <c r="C45" s="17"/>
      <c r="D45" s="3">
        <v>6127</v>
      </c>
      <c r="E45" s="3" t="s">
        <v>202</v>
      </c>
      <c r="F45" s="35"/>
      <c r="G45" s="35"/>
      <c r="H45" s="35"/>
      <c r="I45" s="35"/>
      <c r="J45" s="35"/>
      <c r="K45" s="35"/>
      <c r="L45" s="35"/>
      <c r="M45" s="35">
        <f t="shared" si="14"/>
        <v>0</v>
      </c>
      <c r="N45" s="35" t="e">
        <f t="shared" si="17"/>
        <v>#DIV/0!</v>
      </c>
    </row>
    <row r="46" spans="2:14" x14ac:dyDescent="0.3">
      <c r="B46" s="27"/>
      <c r="C46" s="17"/>
      <c r="D46" s="3">
        <v>6128</v>
      </c>
      <c r="E46" s="3" t="s">
        <v>203</v>
      </c>
      <c r="F46" s="35"/>
      <c r="G46" s="35"/>
      <c r="H46" s="35"/>
      <c r="I46" s="35"/>
      <c r="J46" s="35"/>
      <c r="K46" s="35"/>
      <c r="L46" s="35"/>
      <c r="M46" s="35">
        <f t="shared" si="14"/>
        <v>0</v>
      </c>
      <c r="N46" s="35" t="e">
        <f t="shared" si="17"/>
        <v>#DIV/0!</v>
      </c>
    </row>
    <row r="47" spans="2:14" s="10" customFormat="1" x14ac:dyDescent="0.3">
      <c r="B47" s="27"/>
      <c r="C47" s="17">
        <v>613</v>
      </c>
      <c r="D47" s="3"/>
      <c r="E47" s="17" t="s">
        <v>204</v>
      </c>
      <c r="F47" s="43">
        <f>SUM(F48:F50)</f>
        <v>0</v>
      </c>
      <c r="G47" s="43">
        <f t="shared" ref="G47:L47" si="18">SUM(G48:G50)</f>
        <v>0</v>
      </c>
      <c r="H47" s="43">
        <f t="shared" si="18"/>
        <v>0</v>
      </c>
      <c r="I47" s="43">
        <f t="shared" si="18"/>
        <v>0</v>
      </c>
      <c r="J47" s="43">
        <f t="shared" si="18"/>
        <v>0</v>
      </c>
      <c r="K47" s="43">
        <f t="shared" si="18"/>
        <v>0</v>
      </c>
      <c r="L47" s="43">
        <f t="shared" si="18"/>
        <v>0</v>
      </c>
      <c r="M47" s="35">
        <f t="shared" si="14"/>
        <v>0</v>
      </c>
      <c r="N47" s="43"/>
    </row>
    <row r="48" spans="2:14" x14ac:dyDescent="0.3">
      <c r="B48" s="27"/>
      <c r="C48" s="17"/>
      <c r="D48" s="3">
        <v>6131</v>
      </c>
      <c r="E48" s="3" t="s">
        <v>205</v>
      </c>
      <c r="F48" s="35"/>
      <c r="G48" s="35"/>
      <c r="H48" s="35"/>
      <c r="I48" s="35"/>
      <c r="J48" s="35"/>
      <c r="K48" s="35"/>
      <c r="L48" s="35"/>
      <c r="M48" s="35">
        <f t="shared" si="14"/>
        <v>0</v>
      </c>
      <c r="N48" s="35" t="e">
        <f t="shared" ref="N48:N50" si="19">K48/I48</f>
        <v>#DIV/0!</v>
      </c>
    </row>
    <row r="49" spans="2:14" x14ac:dyDescent="0.3">
      <c r="B49" s="27"/>
      <c r="C49" s="17"/>
      <c r="D49" s="3">
        <v>6132</v>
      </c>
      <c r="E49" s="3" t="s">
        <v>206</v>
      </c>
      <c r="F49" s="35"/>
      <c r="G49" s="35"/>
      <c r="H49" s="35"/>
      <c r="I49" s="35"/>
      <c r="J49" s="35"/>
      <c r="K49" s="35"/>
      <c r="L49" s="35"/>
      <c r="M49" s="35">
        <f t="shared" si="14"/>
        <v>0</v>
      </c>
      <c r="N49" s="35" t="e">
        <f t="shared" si="19"/>
        <v>#DIV/0!</v>
      </c>
    </row>
    <row r="50" spans="2:14" x14ac:dyDescent="0.3">
      <c r="B50" s="27"/>
      <c r="C50" s="17"/>
      <c r="D50" s="3">
        <v>6138</v>
      </c>
      <c r="E50" s="3" t="s">
        <v>207</v>
      </c>
      <c r="F50" s="35"/>
      <c r="G50" s="35"/>
      <c r="H50" s="35"/>
      <c r="I50" s="35"/>
      <c r="J50" s="35"/>
      <c r="K50" s="35"/>
      <c r="L50" s="35"/>
      <c r="M50" s="35">
        <f t="shared" si="14"/>
        <v>0</v>
      </c>
      <c r="N50" s="35" t="e">
        <f t="shared" si="19"/>
        <v>#DIV/0!</v>
      </c>
    </row>
    <row r="51" spans="2:14" s="10" customFormat="1" x14ac:dyDescent="0.3">
      <c r="B51" s="27"/>
      <c r="C51" s="17">
        <v>616</v>
      </c>
      <c r="D51" s="3"/>
      <c r="E51" s="17" t="s">
        <v>208</v>
      </c>
      <c r="F51" s="43">
        <f>SUM(F52:F55)</f>
        <v>0</v>
      </c>
      <c r="G51" s="43">
        <f t="shared" ref="G51:L51" si="20">SUM(G52:G55)</f>
        <v>0</v>
      </c>
      <c r="H51" s="43">
        <f t="shared" si="20"/>
        <v>0</v>
      </c>
      <c r="I51" s="43">
        <f t="shared" si="20"/>
        <v>0</v>
      </c>
      <c r="J51" s="43">
        <f t="shared" si="20"/>
        <v>0</v>
      </c>
      <c r="K51" s="43">
        <f t="shared" si="20"/>
        <v>0</v>
      </c>
      <c r="L51" s="43">
        <f t="shared" si="20"/>
        <v>0</v>
      </c>
      <c r="M51" s="35">
        <f t="shared" si="14"/>
        <v>0</v>
      </c>
      <c r="N51" s="43"/>
    </row>
    <row r="52" spans="2:14" x14ac:dyDescent="0.3">
      <c r="B52" s="27"/>
      <c r="C52" s="17"/>
      <c r="D52" s="3">
        <v>6161</v>
      </c>
      <c r="E52" s="3" t="s">
        <v>209</v>
      </c>
      <c r="F52" s="35"/>
      <c r="G52" s="35"/>
      <c r="H52" s="35"/>
      <c r="I52" s="35"/>
      <c r="J52" s="35"/>
      <c r="K52" s="35"/>
      <c r="L52" s="35"/>
      <c r="M52" s="35">
        <f t="shared" si="14"/>
        <v>0</v>
      </c>
      <c r="N52" s="35" t="e">
        <f t="shared" ref="N52:N55" si="21">K52/I52</f>
        <v>#DIV/0!</v>
      </c>
    </row>
    <row r="53" spans="2:14" x14ac:dyDescent="0.3">
      <c r="B53" s="27"/>
      <c r="C53" s="17"/>
      <c r="D53" s="3">
        <v>6162</v>
      </c>
      <c r="E53" s="3" t="s">
        <v>210</v>
      </c>
      <c r="F53" s="35"/>
      <c r="G53" s="35"/>
      <c r="H53" s="35"/>
      <c r="I53" s="35"/>
      <c r="J53" s="35"/>
      <c r="K53" s="35"/>
      <c r="L53" s="35"/>
      <c r="M53" s="35">
        <f t="shared" si="14"/>
        <v>0</v>
      </c>
      <c r="N53" s="35" t="e">
        <f t="shared" si="21"/>
        <v>#DIV/0!</v>
      </c>
    </row>
    <row r="54" spans="2:14" x14ac:dyDescent="0.3">
      <c r="B54" s="27"/>
      <c r="C54" s="17"/>
      <c r="D54" s="3">
        <v>6163</v>
      </c>
      <c r="E54" s="3" t="s">
        <v>211</v>
      </c>
      <c r="F54" s="35"/>
      <c r="G54" s="35"/>
      <c r="H54" s="35"/>
      <c r="I54" s="35"/>
      <c r="J54" s="35"/>
      <c r="K54" s="35"/>
      <c r="L54" s="35"/>
      <c r="M54" s="35">
        <f t="shared" si="14"/>
        <v>0</v>
      </c>
      <c r="N54" s="35" t="e">
        <f t="shared" si="21"/>
        <v>#DIV/0!</v>
      </c>
    </row>
    <row r="55" spans="2:14" x14ac:dyDescent="0.3">
      <c r="B55" s="27"/>
      <c r="C55" s="17"/>
      <c r="D55" s="3">
        <v>6168</v>
      </c>
      <c r="E55" s="3" t="s">
        <v>212</v>
      </c>
      <c r="F55" s="35"/>
      <c r="G55" s="35"/>
      <c r="H55" s="35"/>
      <c r="I55" s="35"/>
      <c r="J55" s="35"/>
      <c r="K55" s="35"/>
      <c r="L55" s="35"/>
      <c r="M55" s="35">
        <f t="shared" si="14"/>
        <v>0</v>
      </c>
      <c r="N55" s="35" t="e">
        <f t="shared" si="21"/>
        <v>#DIV/0!</v>
      </c>
    </row>
    <row r="56" spans="2:14" s="10" customFormat="1" x14ac:dyDescent="0.3">
      <c r="B56" s="27"/>
      <c r="C56" s="17">
        <v>618</v>
      </c>
      <c r="D56" s="3"/>
      <c r="E56" s="17" t="s">
        <v>213</v>
      </c>
      <c r="F56" s="43">
        <f>SUM(F57:F59)</f>
        <v>0</v>
      </c>
      <c r="G56" s="43">
        <f t="shared" ref="G56:L56" si="22">SUM(G57:G59)</f>
        <v>0</v>
      </c>
      <c r="H56" s="43">
        <f t="shared" si="22"/>
        <v>0</v>
      </c>
      <c r="I56" s="43">
        <f t="shared" si="22"/>
        <v>0</v>
      </c>
      <c r="J56" s="43">
        <f t="shared" si="22"/>
        <v>0</v>
      </c>
      <c r="K56" s="43">
        <f t="shared" si="22"/>
        <v>0</v>
      </c>
      <c r="L56" s="43">
        <f t="shared" si="22"/>
        <v>0</v>
      </c>
      <c r="M56" s="35">
        <f t="shared" si="14"/>
        <v>0</v>
      </c>
      <c r="N56" s="43"/>
    </row>
    <row r="57" spans="2:14" x14ac:dyDescent="0.3">
      <c r="B57" s="27"/>
      <c r="C57" s="17"/>
      <c r="D57" s="3">
        <v>6181</v>
      </c>
      <c r="E57" s="3" t="s">
        <v>214</v>
      </c>
      <c r="F57" s="35"/>
      <c r="G57" s="35"/>
      <c r="H57" s="35"/>
      <c r="I57" s="35"/>
      <c r="J57" s="35"/>
      <c r="K57" s="35"/>
      <c r="L57" s="35"/>
      <c r="M57" s="35">
        <f t="shared" si="14"/>
        <v>0</v>
      </c>
      <c r="N57" s="35" t="e">
        <f t="shared" ref="N57:N59" si="23">K57/I57</f>
        <v>#DIV/0!</v>
      </c>
    </row>
    <row r="58" spans="2:14" x14ac:dyDescent="0.3">
      <c r="B58" s="27"/>
      <c r="C58" s="17"/>
      <c r="D58" s="3">
        <v>6182</v>
      </c>
      <c r="E58" s="3" t="s">
        <v>215</v>
      </c>
      <c r="F58" s="35"/>
      <c r="G58" s="35"/>
      <c r="H58" s="35"/>
      <c r="I58" s="35"/>
      <c r="J58" s="35"/>
      <c r="K58" s="35"/>
      <c r="L58" s="35"/>
      <c r="M58" s="35">
        <f t="shared" si="14"/>
        <v>0</v>
      </c>
      <c r="N58" s="35" t="e">
        <f t="shared" si="23"/>
        <v>#DIV/0!</v>
      </c>
    </row>
    <row r="59" spans="2:14" x14ac:dyDescent="0.3">
      <c r="B59" s="27"/>
      <c r="C59" s="17"/>
      <c r="D59" s="3">
        <v>6183</v>
      </c>
      <c r="E59" s="3" t="s">
        <v>216</v>
      </c>
      <c r="F59" s="35"/>
      <c r="G59" s="35"/>
      <c r="H59" s="35"/>
      <c r="I59" s="35"/>
      <c r="J59" s="35"/>
      <c r="K59" s="35"/>
      <c r="L59" s="35"/>
      <c r="M59" s="35">
        <f t="shared" si="14"/>
        <v>0</v>
      </c>
      <c r="N59" s="35" t="e">
        <f t="shared" si="23"/>
        <v>#DIV/0!</v>
      </c>
    </row>
    <row r="60" spans="2:14" s="10" customFormat="1" ht="30" customHeight="1" x14ac:dyDescent="0.3">
      <c r="B60" s="27">
        <v>62</v>
      </c>
      <c r="C60" s="17"/>
      <c r="D60" s="17"/>
      <c r="E60" s="17" t="s">
        <v>155</v>
      </c>
      <c r="F60" s="43">
        <f>SUM(F61,F70,F77,F83,F87,F89,F96,F103)</f>
        <v>0</v>
      </c>
      <c r="G60" s="43">
        <f t="shared" ref="G60:M60" si="24">SUM(G61,G70,G77,G83,G87,G89,G96,G103)</f>
        <v>0</v>
      </c>
      <c r="H60" s="43">
        <f t="shared" si="24"/>
        <v>0</v>
      </c>
      <c r="I60" s="43">
        <f t="shared" si="24"/>
        <v>0</v>
      </c>
      <c r="J60" s="43">
        <f t="shared" si="24"/>
        <v>0</v>
      </c>
      <c r="K60" s="43">
        <f t="shared" si="24"/>
        <v>0</v>
      </c>
      <c r="L60" s="43">
        <f t="shared" si="24"/>
        <v>0</v>
      </c>
      <c r="M60" s="43">
        <f t="shared" si="24"/>
        <v>0</v>
      </c>
      <c r="N60" s="43" t="e">
        <f>K60/I60</f>
        <v>#DIV/0!</v>
      </c>
    </row>
    <row r="61" spans="2:14" s="10" customFormat="1" x14ac:dyDescent="0.3">
      <c r="B61" s="27"/>
      <c r="C61" s="17">
        <v>621</v>
      </c>
      <c r="D61" s="3"/>
      <c r="E61" s="17" t="s">
        <v>217</v>
      </c>
      <c r="F61" s="43">
        <f>SUM(F62:F69)</f>
        <v>0</v>
      </c>
      <c r="G61" s="43">
        <f t="shared" ref="G61:L61" si="25">SUM(G62:G69)</f>
        <v>0</v>
      </c>
      <c r="H61" s="43">
        <f t="shared" si="25"/>
        <v>0</v>
      </c>
      <c r="I61" s="43">
        <f t="shared" si="25"/>
        <v>0</v>
      </c>
      <c r="J61" s="43">
        <f t="shared" si="25"/>
        <v>0</v>
      </c>
      <c r="K61" s="43">
        <f t="shared" si="25"/>
        <v>0</v>
      </c>
      <c r="L61" s="43">
        <f t="shared" si="25"/>
        <v>0</v>
      </c>
      <c r="M61" s="35">
        <f t="shared" ref="M61:M87" si="26">K61-L61</f>
        <v>0</v>
      </c>
      <c r="N61" s="43"/>
    </row>
    <row r="62" spans="2:14" x14ac:dyDescent="0.3">
      <c r="B62" s="27"/>
      <c r="C62" s="17"/>
      <c r="D62" s="3">
        <v>6211</v>
      </c>
      <c r="E62" s="3" t="s">
        <v>218</v>
      </c>
      <c r="F62" s="35"/>
      <c r="G62" s="35"/>
      <c r="H62" s="35"/>
      <c r="I62" s="35"/>
      <c r="J62" s="35"/>
      <c r="K62" s="35"/>
      <c r="L62" s="35"/>
      <c r="M62" s="35">
        <f t="shared" si="26"/>
        <v>0</v>
      </c>
      <c r="N62" s="35" t="e">
        <f t="shared" ref="N62:N69" si="27">K62/I62</f>
        <v>#DIV/0!</v>
      </c>
    </row>
    <row r="63" spans="2:14" x14ac:dyDescent="0.3">
      <c r="B63" s="27"/>
      <c r="C63" s="17"/>
      <c r="D63" s="3">
        <v>6212</v>
      </c>
      <c r="E63" s="3" t="s">
        <v>219</v>
      </c>
      <c r="F63" s="35"/>
      <c r="G63" s="35"/>
      <c r="H63" s="35"/>
      <c r="I63" s="35"/>
      <c r="J63" s="35"/>
      <c r="K63" s="35"/>
      <c r="L63" s="35"/>
      <c r="M63" s="35">
        <f t="shared" si="26"/>
        <v>0</v>
      </c>
      <c r="N63" s="35" t="e">
        <f t="shared" si="27"/>
        <v>#DIV/0!</v>
      </c>
    </row>
    <row r="64" spans="2:14" x14ac:dyDescent="0.3">
      <c r="B64" s="27"/>
      <c r="C64" s="17"/>
      <c r="D64" s="3">
        <v>6213</v>
      </c>
      <c r="E64" s="3" t="s">
        <v>220</v>
      </c>
      <c r="F64" s="35"/>
      <c r="G64" s="35"/>
      <c r="H64" s="35"/>
      <c r="I64" s="35"/>
      <c r="J64" s="35"/>
      <c r="K64" s="35"/>
      <c r="L64" s="35"/>
      <c r="M64" s="35">
        <f t="shared" si="26"/>
        <v>0</v>
      </c>
      <c r="N64" s="35" t="e">
        <f t="shared" si="27"/>
        <v>#DIV/0!</v>
      </c>
    </row>
    <row r="65" spans="2:14" x14ac:dyDescent="0.3">
      <c r="B65" s="27"/>
      <c r="C65" s="17"/>
      <c r="D65" s="3">
        <v>6214</v>
      </c>
      <c r="E65" s="3" t="s">
        <v>221</v>
      </c>
      <c r="F65" s="35"/>
      <c r="G65" s="35"/>
      <c r="H65" s="35"/>
      <c r="I65" s="35"/>
      <c r="J65" s="35"/>
      <c r="K65" s="35"/>
      <c r="L65" s="35"/>
      <c r="M65" s="35">
        <f t="shared" si="26"/>
        <v>0</v>
      </c>
      <c r="N65" s="35" t="e">
        <f t="shared" si="27"/>
        <v>#DIV/0!</v>
      </c>
    </row>
    <row r="66" spans="2:14" x14ac:dyDescent="0.3">
      <c r="B66" s="27"/>
      <c r="C66" s="17"/>
      <c r="D66" s="3">
        <v>6215</v>
      </c>
      <c r="E66" s="3" t="s">
        <v>222</v>
      </c>
      <c r="F66" s="35"/>
      <c r="G66" s="35"/>
      <c r="H66" s="35"/>
      <c r="I66" s="35"/>
      <c r="J66" s="35"/>
      <c r="K66" s="35"/>
      <c r="L66" s="35"/>
      <c r="M66" s="35">
        <f t="shared" si="26"/>
        <v>0</v>
      </c>
      <c r="N66" s="35" t="e">
        <f t="shared" si="27"/>
        <v>#DIV/0!</v>
      </c>
    </row>
    <row r="67" spans="2:14" x14ac:dyDescent="0.3">
      <c r="B67" s="27"/>
      <c r="C67" s="17"/>
      <c r="D67" s="3">
        <v>6216</v>
      </c>
      <c r="E67" s="3" t="s">
        <v>223</v>
      </c>
      <c r="F67" s="35"/>
      <c r="G67" s="35"/>
      <c r="H67" s="35"/>
      <c r="I67" s="35"/>
      <c r="J67" s="35"/>
      <c r="K67" s="35"/>
      <c r="L67" s="35"/>
      <c r="M67" s="35">
        <f t="shared" si="26"/>
        <v>0</v>
      </c>
      <c r="N67" s="35" t="e">
        <f t="shared" si="27"/>
        <v>#DIV/0!</v>
      </c>
    </row>
    <row r="68" spans="2:14" x14ac:dyDescent="0.3">
      <c r="B68" s="27"/>
      <c r="C68" s="17"/>
      <c r="D68" s="3">
        <v>6217</v>
      </c>
      <c r="E68" s="3" t="s">
        <v>224</v>
      </c>
      <c r="F68" s="35"/>
      <c r="G68" s="35"/>
      <c r="H68" s="35"/>
      <c r="I68" s="35"/>
      <c r="J68" s="35"/>
      <c r="K68" s="35"/>
      <c r="L68" s="35"/>
      <c r="M68" s="35">
        <f t="shared" si="26"/>
        <v>0</v>
      </c>
      <c r="N68" s="35" t="e">
        <f t="shared" si="27"/>
        <v>#DIV/0!</v>
      </c>
    </row>
    <row r="69" spans="2:14" x14ac:dyDescent="0.3">
      <c r="B69" s="27"/>
      <c r="C69" s="17"/>
      <c r="D69" s="3">
        <v>6218</v>
      </c>
      <c r="E69" s="3" t="s">
        <v>225</v>
      </c>
      <c r="F69" s="35"/>
      <c r="G69" s="35"/>
      <c r="H69" s="35"/>
      <c r="I69" s="35"/>
      <c r="J69" s="35"/>
      <c r="K69" s="35"/>
      <c r="L69" s="35"/>
      <c r="M69" s="35">
        <f t="shared" si="26"/>
        <v>0</v>
      </c>
      <c r="N69" s="35" t="e">
        <f t="shared" si="27"/>
        <v>#DIV/0!</v>
      </c>
    </row>
    <row r="70" spans="2:14" s="10" customFormat="1" x14ac:dyDescent="0.3">
      <c r="B70" s="27"/>
      <c r="C70" s="17">
        <v>622</v>
      </c>
      <c r="D70" s="3"/>
      <c r="E70" s="17" t="s">
        <v>226</v>
      </c>
      <c r="F70" s="43">
        <f>SUM(F71:F76)</f>
        <v>0</v>
      </c>
      <c r="G70" s="43">
        <f t="shared" ref="G70:L70" si="28">SUM(G71:G76)</f>
        <v>0</v>
      </c>
      <c r="H70" s="43">
        <f t="shared" si="28"/>
        <v>0</v>
      </c>
      <c r="I70" s="43">
        <f t="shared" si="28"/>
        <v>0</v>
      </c>
      <c r="J70" s="43">
        <f t="shared" si="28"/>
        <v>0</v>
      </c>
      <c r="K70" s="43">
        <f t="shared" si="28"/>
        <v>0</v>
      </c>
      <c r="L70" s="43">
        <f t="shared" si="28"/>
        <v>0</v>
      </c>
      <c r="M70" s="35">
        <f t="shared" si="26"/>
        <v>0</v>
      </c>
      <c r="N70" s="43"/>
    </row>
    <row r="71" spans="2:14" x14ac:dyDescent="0.3">
      <c r="B71" s="27"/>
      <c r="C71" s="17"/>
      <c r="D71" s="3">
        <v>6221</v>
      </c>
      <c r="E71" s="3" t="s">
        <v>227</v>
      </c>
      <c r="F71" s="35"/>
      <c r="G71" s="35"/>
      <c r="H71" s="35"/>
      <c r="I71" s="35"/>
      <c r="J71" s="35"/>
      <c r="K71" s="35"/>
      <c r="L71" s="35"/>
      <c r="M71" s="35">
        <f t="shared" si="26"/>
        <v>0</v>
      </c>
      <c r="N71" s="35" t="e">
        <f t="shared" ref="N71:N76" si="29">K71/I71</f>
        <v>#DIV/0!</v>
      </c>
    </row>
    <row r="72" spans="2:14" x14ac:dyDescent="0.3">
      <c r="B72" s="27"/>
      <c r="C72" s="17"/>
      <c r="D72" s="3">
        <v>6222</v>
      </c>
      <c r="E72" s="3" t="s">
        <v>228</v>
      </c>
      <c r="F72" s="35"/>
      <c r="G72" s="35"/>
      <c r="H72" s="35"/>
      <c r="I72" s="35"/>
      <c r="J72" s="35"/>
      <c r="K72" s="35"/>
      <c r="L72" s="35"/>
      <c r="M72" s="35">
        <f t="shared" si="26"/>
        <v>0</v>
      </c>
      <c r="N72" s="35" t="e">
        <f t="shared" si="29"/>
        <v>#DIV/0!</v>
      </c>
    </row>
    <row r="73" spans="2:14" x14ac:dyDescent="0.3">
      <c r="B73" s="27"/>
      <c r="C73" s="17"/>
      <c r="D73" s="3">
        <v>6223</v>
      </c>
      <c r="E73" s="3" t="s">
        <v>229</v>
      </c>
      <c r="F73" s="35"/>
      <c r="G73" s="35"/>
      <c r="H73" s="35"/>
      <c r="I73" s="35"/>
      <c r="J73" s="35"/>
      <c r="K73" s="35"/>
      <c r="L73" s="35"/>
      <c r="M73" s="35">
        <f t="shared" si="26"/>
        <v>0</v>
      </c>
      <c r="N73" s="35" t="e">
        <f t="shared" si="29"/>
        <v>#DIV/0!</v>
      </c>
    </row>
    <row r="74" spans="2:14" x14ac:dyDescent="0.3">
      <c r="B74" s="27"/>
      <c r="C74" s="17"/>
      <c r="D74" s="3">
        <v>6224</v>
      </c>
      <c r="E74" s="3" t="s">
        <v>230</v>
      </c>
      <c r="F74" s="35"/>
      <c r="G74" s="35"/>
      <c r="H74" s="35"/>
      <c r="I74" s="35"/>
      <c r="J74" s="35"/>
      <c r="K74" s="35"/>
      <c r="L74" s="35"/>
      <c r="M74" s="35">
        <f t="shared" si="26"/>
        <v>0</v>
      </c>
      <c r="N74" s="35" t="e">
        <f t="shared" si="29"/>
        <v>#DIV/0!</v>
      </c>
    </row>
    <row r="75" spans="2:14" x14ac:dyDescent="0.3">
      <c r="B75" s="27"/>
      <c r="C75" s="17"/>
      <c r="D75" s="3">
        <v>6225</v>
      </c>
      <c r="E75" s="3" t="s">
        <v>231</v>
      </c>
      <c r="F75" s="35"/>
      <c r="G75" s="35"/>
      <c r="H75" s="35"/>
      <c r="I75" s="35"/>
      <c r="J75" s="35"/>
      <c r="K75" s="35"/>
      <c r="L75" s="35"/>
      <c r="M75" s="35">
        <f t="shared" si="26"/>
        <v>0</v>
      </c>
      <c r="N75" s="35" t="e">
        <f t="shared" si="29"/>
        <v>#DIV/0!</v>
      </c>
    </row>
    <row r="76" spans="2:14" x14ac:dyDescent="0.3">
      <c r="B76" s="27"/>
      <c r="C76" s="17"/>
      <c r="D76" s="3">
        <v>6226</v>
      </c>
      <c r="E76" s="3" t="s">
        <v>232</v>
      </c>
      <c r="F76" s="35"/>
      <c r="G76" s="35"/>
      <c r="H76" s="35"/>
      <c r="I76" s="35"/>
      <c r="J76" s="35"/>
      <c r="K76" s="35"/>
      <c r="L76" s="35"/>
      <c r="M76" s="35">
        <f t="shared" si="26"/>
        <v>0</v>
      </c>
      <c r="N76" s="35" t="e">
        <f t="shared" si="29"/>
        <v>#DIV/0!</v>
      </c>
    </row>
    <row r="77" spans="2:14" s="10" customFormat="1" x14ac:dyDescent="0.3">
      <c r="B77" s="27"/>
      <c r="C77" s="17">
        <v>623</v>
      </c>
      <c r="D77" s="3"/>
      <c r="E77" s="17" t="s">
        <v>233</v>
      </c>
      <c r="F77" s="43">
        <f>SUM(F78:F82)</f>
        <v>0</v>
      </c>
      <c r="G77" s="43">
        <f t="shared" ref="G77:L77" si="30">SUM(G78:G82)</f>
        <v>0</v>
      </c>
      <c r="H77" s="43">
        <f t="shared" si="30"/>
        <v>0</v>
      </c>
      <c r="I77" s="43">
        <f t="shared" si="30"/>
        <v>0</v>
      </c>
      <c r="J77" s="43">
        <f t="shared" si="30"/>
        <v>0</v>
      </c>
      <c r="K77" s="43">
        <f t="shared" si="30"/>
        <v>0</v>
      </c>
      <c r="L77" s="43">
        <f t="shared" si="30"/>
        <v>0</v>
      </c>
      <c r="M77" s="35">
        <f t="shared" si="26"/>
        <v>0</v>
      </c>
      <c r="N77" s="43"/>
    </row>
    <row r="78" spans="2:14" x14ac:dyDescent="0.3">
      <c r="B78" s="27"/>
      <c r="C78" s="17"/>
      <c r="D78" s="3">
        <v>6231</v>
      </c>
      <c r="E78" s="3" t="s">
        <v>234</v>
      </c>
      <c r="F78" s="35"/>
      <c r="G78" s="35"/>
      <c r="H78" s="35"/>
      <c r="I78" s="35"/>
      <c r="J78" s="35"/>
      <c r="K78" s="35"/>
      <c r="L78" s="35"/>
      <c r="M78" s="35">
        <f t="shared" si="26"/>
        <v>0</v>
      </c>
      <c r="N78" s="35" t="e">
        <f t="shared" ref="N78:N82" si="31">K78/I78</f>
        <v>#DIV/0!</v>
      </c>
    </row>
    <row r="79" spans="2:14" x14ac:dyDescent="0.3">
      <c r="B79" s="27"/>
      <c r="C79" s="17"/>
      <c r="D79" s="3">
        <v>6232</v>
      </c>
      <c r="E79" s="3" t="s">
        <v>235</v>
      </c>
      <c r="F79" s="35"/>
      <c r="G79" s="35"/>
      <c r="H79" s="35"/>
      <c r="I79" s="35"/>
      <c r="J79" s="35"/>
      <c r="K79" s="35"/>
      <c r="L79" s="35"/>
      <c r="M79" s="35">
        <f t="shared" si="26"/>
        <v>0</v>
      </c>
      <c r="N79" s="35" t="e">
        <f t="shared" si="31"/>
        <v>#DIV/0!</v>
      </c>
    </row>
    <row r="80" spans="2:14" x14ac:dyDescent="0.3">
      <c r="B80" s="27"/>
      <c r="C80" s="17"/>
      <c r="D80" s="3">
        <v>6233</v>
      </c>
      <c r="E80" s="3" t="s">
        <v>236</v>
      </c>
      <c r="F80" s="35"/>
      <c r="G80" s="35"/>
      <c r="H80" s="35"/>
      <c r="I80" s="35"/>
      <c r="J80" s="35"/>
      <c r="K80" s="35"/>
      <c r="L80" s="35"/>
      <c r="M80" s="35">
        <f t="shared" si="26"/>
        <v>0</v>
      </c>
      <c r="N80" s="35" t="e">
        <f t="shared" si="31"/>
        <v>#DIV/0!</v>
      </c>
    </row>
    <row r="81" spans="2:14" x14ac:dyDescent="0.3">
      <c r="B81" s="27"/>
      <c r="C81" s="17"/>
      <c r="D81" s="3">
        <v>6234</v>
      </c>
      <c r="E81" s="3" t="s">
        <v>237</v>
      </c>
      <c r="F81" s="35"/>
      <c r="G81" s="35"/>
      <c r="H81" s="35"/>
      <c r="I81" s="35"/>
      <c r="J81" s="35"/>
      <c r="K81" s="35"/>
      <c r="L81" s="35"/>
      <c r="M81" s="35">
        <f t="shared" si="26"/>
        <v>0</v>
      </c>
      <c r="N81" s="35" t="e">
        <f t="shared" si="31"/>
        <v>#DIV/0!</v>
      </c>
    </row>
    <row r="82" spans="2:14" x14ac:dyDescent="0.3">
      <c r="B82" s="27"/>
      <c r="C82" s="17"/>
      <c r="D82" s="3">
        <v>6235</v>
      </c>
      <c r="E82" s="3" t="s">
        <v>238</v>
      </c>
      <c r="F82" s="35"/>
      <c r="G82" s="35"/>
      <c r="H82" s="35"/>
      <c r="I82" s="35"/>
      <c r="J82" s="35"/>
      <c r="K82" s="35"/>
      <c r="L82" s="35"/>
      <c r="M82" s="35">
        <f t="shared" si="26"/>
        <v>0</v>
      </c>
      <c r="N82" s="35" t="e">
        <f t="shared" si="31"/>
        <v>#DIV/0!</v>
      </c>
    </row>
    <row r="83" spans="2:14" s="10" customFormat="1" x14ac:dyDescent="0.3">
      <c r="B83" s="27"/>
      <c r="C83" s="17">
        <v>624</v>
      </c>
      <c r="D83" s="3"/>
      <c r="E83" s="17" t="s">
        <v>239</v>
      </c>
      <c r="F83" s="43">
        <f>SUM(F84:F86)</f>
        <v>0</v>
      </c>
      <c r="G83" s="43">
        <f t="shared" ref="G83:L83" si="32">SUM(G84:G86)</f>
        <v>0</v>
      </c>
      <c r="H83" s="43">
        <f t="shared" si="32"/>
        <v>0</v>
      </c>
      <c r="I83" s="43">
        <f t="shared" si="32"/>
        <v>0</v>
      </c>
      <c r="J83" s="43">
        <f t="shared" si="32"/>
        <v>0</v>
      </c>
      <c r="K83" s="43">
        <f t="shared" si="32"/>
        <v>0</v>
      </c>
      <c r="L83" s="43">
        <f t="shared" si="32"/>
        <v>0</v>
      </c>
      <c r="M83" s="35">
        <f t="shared" si="26"/>
        <v>0</v>
      </c>
      <c r="N83" s="43"/>
    </row>
    <row r="84" spans="2:14" x14ac:dyDescent="0.3">
      <c r="B84" s="27"/>
      <c r="C84" s="17"/>
      <c r="D84" s="3">
        <v>6241</v>
      </c>
      <c r="E84" s="3" t="s">
        <v>240</v>
      </c>
      <c r="F84" s="35"/>
      <c r="G84" s="35"/>
      <c r="H84" s="35"/>
      <c r="I84" s="35"/>
      <c r="J84" s="35"/>
      <c r="K84" s="35"/>
      <c r="L84" s="35"/>
      <c r="M84" s="35">
        <f t="shared" si="26"/>
        <v>0</v>
      </c>
      <c r="N84" s="35" t="e">
        <f t="shared" ref="N84:N86" si="33">K84/I84</f>
        <v>#DIV/0!</v>
      </c>
    </row>
    <row r="85" spans="2:14" x14ac:dyDescent="0.3">
      <c r="B85" s="27"/>
      <c r="C85" s="17"/>
      <c r="D85" s="3">
        <v>6242</v>
      </c>
      <c r="E85" s="3" t="s">
        <v>241</v>
      </c>
      <c r="F85" s="35"/>
      <c r="G85" s="35"/>
      <c r="H85" s="35"/>
      <c r="I85" s="35"/>
      <c r="J85" s="35"/>
      <c r="K85" s="35"/>
      <c r="L85" s="35"/>
      <c r="M85" s="35">
        <f t="shared" si="26"/>
        <v>0</v>
      </c>
      <c r="N85" s="35" t="e">
        <f t="shared" si="33"/>
        <v>#DIV/0!</v>
      </c>
    </row>
    <row r="86" spans="2:14" x14ac:dyDescent="0.3">
      <c r="B86" s="27"/>
      <c r="C86" s="17"/>
      <c r="D86" s="3">
        <v>6243</v>
      </c>
      <c r="E86" s="3" t="s">
        <v>242</v>
      </c>
      <c r="F86" s="35"/>
      <c r="G86" s="35"/>
      <c r="H86" s="35"/>
      <c r="I86" s="35"/>
      <c r="J86" s="35"/>
      <c r="K86" s="35"/>
      <c r="L86" s="35"/>
      <c r="M86" s="35">
        <f t="shared" si="26"/>
        <v>0</v>
      </c>
      <c r="N86" s="35" t="e">
        <f t="shared" si="33"/>
        <v>#DIV/0!</v>
      </c>
    </row>
    <row r="87" spans="2:14" s="10" customFormat="1" x14ac:dyDescent="0.3">
      <c r="B87" s="27"/>
      <c r="C87" s="27">
        <v>625</v>
      </c>
      <c r="D87" s="3"/>
      <c r="E87" s="17" t="s">
        <v>244</v>
      </c>
      <c r="F87" s="43">
        <f>SUM(F88)</f>
        <v>0</v>
      </c>
      <c r="G87" s="43">
        <f t="shared" ref="G87:L87" si="34">SUM(G88)</f>
        <v>0</v>
      </c>
      <c r="H87" s="43">
        <f t="shared" si="34"/>
        <v>0</v>
      </c>
      <c r="I87" s="43">
        <f t="shared" si="34"/>
        <v>0</v>
      </c>
      <c r="J87" s="43">
        <f t="shared" si="34"/>
        <v>0</v>
      </c>
      <c r="K87" s="43">
        <f t="shared" si="34"/>
        <v>0</v>
      </c>
      <c r="L87" s="43">
        <f t="shared" si="34"/>
        <v>0</v>
      </c>
      <c r="M87" s="35">
        <f t="shared" si="26"/>
        <v>0</v>
      </c>
      <c r="N87" s="43"/>
    </row>
    <row r="88" spans="2:14" x14ac:dyDescent="0.3">
      <c r="B88" s="27"/>
      <c r="C88" s="17"/>
      <c r="D88" s="3">
        <v>6250</v>
      </c>
      <c r="E88" s="3" t="s">
        <v>243</v>
      </c>
      <c r="F88" s="35"/>
      <c r="G88" s="35"/>
      <c r="H88" s="35"/>
      <c r="I88" s="35"/>
      <c r="J88" s="35"/>
      <c r="K88" s="35"/>
      <c r="L88" s="35"/>
      <c r="M88" s="35">
        <f>K88-L88</f>
        <v>0</v>
      </c>
      <c r="N88" s="35" t="e">
        <f t="shared" ref="N88" si="35">K88/I88</f>
        <v>#DIV/0!</v>
      </c>
    </row>
    <row r="89" spans="2:14" s="10" customFormat="1" x14ac:dyDescent="0.3">
      <c r="B89" s="27"/>
      <c r="C89" s="27">
        <v>626</v>
      </c>
      <c r="D89" s="3"/>
      <c r="E89" s="17" t="s">
        <v>245</v>
      </c>
      <c r="F89" s="43">
        <f>SUM(F90:F95)</f>
        <v>0</v>
      </c>
      <c r="G89" s="43">
        <f t="shared" ref="G89:L89" si="36">SUM(G90:G95)</f>
        <v>0</v>
      </c>
      <c r="H89" s="43">
        <f t="shared" si="36"/>
        <v>0</v>
      </c>
      <c r="I89" s="43">
        <f t="shared" si="36"/>
        <v>0</v>
      </c>
      <c r="J89" s="43">
        <f t="shared" si="36"/>
        <v>0</v>
      </c>
      <c r="K89" s="43">
        <f t="shared" si="36"/>
        <v>0</v>
      </c>
      <c r="L89" s="43">
        <f t="shared" si="36"/>
        <v>0</v>
      </c>
      <c r="M89" s="35">
        <f t="shared" ref="M89:M111" si="37">K89-L89</f>
        <v>0</v>
      </c>
      <c r="N89" s="43"/>
    </row>
    <row r="90" spans="2:14" x14ac:dyDescent="0.3">
      <c r="B90" s="27"/>
      <c r="C90" s="17"/>
      <c r="D90" s="3">
        <v>6261</v>
      </c>
      <c r="E90" s="3" t="s">
        <v>246</v>
      </c>
      <c r="F90" s="35"/>
      <c r="G90" s="35"/>
      <c r="H90" s="35"/>
      <c r="I90" s="35"/>
      <c r="J90" s="35"/>
      <c r="K90" s="35"/>
      <c r="L90" s="35"/>
      <c r="M90" s="35">
        <f t="shared" si="37"/>
        <v>0</v>
      </c>
      <c r="N90" s="35" t="e">
        <f t="shared" ref="N90:N95" si="38">K90/I90</f>
        <v>#DIV/0!</v>
      </c>
    </row>
    <row r="91" spans="2:14" x14ac:dyDescent="0.3">
      <c r="B91" s="27"/>
      <c r="C91" s="17"/>
      <c r="D91" s="3">
        <v>6262</v>
      </c>
      <c r="E91" s="3" t="s">
        <v>247</v>
      </c>
      <c r="F91" s="35"/>
      <c r="G91" s="35"/>
      <c r="H91" s="35"/>
      <c r="I91" s="35"/>
      <c r="J91" s="35"/>
      <c r="K91" s="35"/>
      <c r="L91" s="35"/>
      <c r="M91" s="35">
        <f t="shared" si="37"/>
        <v>0</v>
      </c>
      <c r="N91" s="35" t="e">
        <f t="shared" si="38"/>
        <v>#DIV/0!</v>
      </c>
    </row>
    <row r="92" spans="2:14" x14ac:dyDescent="0.3">
      <c r="B92" s="27"/>
      <c r="C92" s="17"/>
      <c r="D92" s="3">
        <v>6263</v>
      </c>
      <c r="E92" s="3" t="s">
        <v>248</v>
      </c>
      <c r="F92" s="35"/>
      <c r="G92" s="35"/>
      <c r="H92" s="35"/>
      <c r="I92" s="35"/>
      <c r="J92" s="35"/>
      <c r="K92" s="35"/>
      <c r="L92" s="35"/>
      <c r="M92" s="35">
        <f t="shared" si="37"/>
        <v>0</v>
      </c>
      <c r="N92" s="35" t="e">
        <f t="shared" si="38"/>
        <v>#DIV/0!</v>
      </c>
    </row>
    <row r="93" spans="2:14" x14ac:dyDescent="0.3">
      <c r="B93" s="27"/>
      <c r="C93" s="17"/>
      <c r="D93" s="3">
        <v>6264</v>
      </c>
      <c r="E93" s="3" t="s">
        <v>249</v>
      </c>
      <c r="F93" s="35"/>
      <c r="G93" s="35"/>
      <c r="H93" s="35"/>
      <c r="I93" s="35"/>
      <c r="J93" s="35"/>
      <c r="K93" s="35"/>
      <c r="L93" s="35"/>
      <c r="M93" s="35">
        <f t="shared" si="37"/>
        <v>0</v>
      </c>
      <c r="N93" s="35" t="e">
        <f t="shared" si="38"/>
        <v>#DIV/0!</v>
      </c>
    </row>
    <row r="94" spans="2:14" x14ac:dyDescent="0.3">
      <c r="B94" s="27"/>
      <c r="C94" s="17"/>
      <c r="D94" s="3">
        <v>6265</v>
      </c>
      <c r="E94" s="3" t="s">
        <v>250</v>
      </c>
      <c r="F94" s="35"/>
      <c r="G94" s="35"/>
      <c r="H94" s="35"/>
      <c r="I94" s="35"/>
      <c r="J94" s="35"/>
      <c r="K94" s="35"/>
      <c r="L94" s="35"/>
      <c r="M94" s="35">
        <f t="shared" si="37"/>
        <v>0</v>
      </c>
      <c r="N94" s="35" t="e">
        <f t="shared" si="38"/>
        <v>#DIV/0!</v>
      </c>
    </row>
    <row r="95" spans="2:14" x14ac:dyDescent="0.3">
      <c r="B95" s="27"/>
      <c r="C95" s="17"/>
      <c r="D95" s="3">
        <v>6268</v>
      </c>
      <c r="E95" s="3" t="s">
        <v>95</v>
      </c>
      <c r="F95" s="35"/>
      <c r="G95" s="35"/>
      <c r="H95" s="35"/>
      <c r="I95" s="35"/>
      <c r="J95" s="35"/>
      <c r="K95" s="35"/>
      <c r="L95" s="35"/>
      <c r="M95" s="35">
        <f t="shared" si="37"/>
        <v>0</v>
      </c>
      <c r="N95" s="35" t="e">
        <f t="shared" si="38"/>
        <v>#DIV/0!</v>
      </c>
    </row>
    <row r="96" spans="2:14" s="10" customFormat="1" x14ac:dyDescent="0.3">
      <c r="B96" s="27"/>
      <c r="C96" s="17">
        <v>627</v>
      </c>
      <c r="D96" s="3"/>
      <c r="E96" s="17" t="s">
        <v>251</v>
      </c>
      <c r="F96" s="43">
        <f>SUM(F97:F102)</f>
        <v>0</v>
      </c>
      <c r="G96" s="43">
        <f t="shared" ref="G96:L96" si="39">SUM(G97:G102)</f>
        <v>0</v>
      </c>
      <c r="H96" s="43">
        <f t="shared" si="39"/>
        <v>0</v>
      </c>
      <c r="I96" s="43">
        <f t="shared" si="39"/>
        <v>0</v>
      </c>
      <c r="J96" s="43">
        <f t="shared" si="39"/>
        <v>0</v>
      </c>
      <c r="K96" s="43">
        <f t="shared" si="39"/>
        <v>0</v>
      </c>
      <c r="L96" s="43">
        <f t="shared" si="39"/>
        <v>0</v>
      </c>
      <c r="M96" s="35">
        <f t="shared" si="37"/>
        <v>0</v>
      </c>
      <c r="N96" s="43"/>
    </row>
    <row r="97" spans="2:14" x14ac:dyDescent="0.3">
      <c r="B97" s="27"/>
      <c r="C97" s="17"/>
      <c r="D97" s="3">
        <v>6271</v>
      </c>
      <c r="E97" s="3" t="s">
        <v>252</v>
      </c>
      <c r="F97" s="35"/>
      <c r="G97" s="35"/>
      <c r="H97" s="35"/>
      <c r="I97" s="35"/>
      <c r="J97" s="35"/>
      <c r="K97" s="35"/>
      <c r="L97" s="35"/>
      <c r="M97" s="35">
        <f t="shared" si="37"/>
        <v>0</v>
      </c>
      <c r="N97" s="35" t="e">
        <f t="shared" ref="N97:N102" si="40">K97/I97</f>
        <v>#DIV/0!</v>
      </c>
    </row>
    <row r="98" spans="2:14" x14ac:dyDescent="0.3">
      <c r="B98" s="27"/>
      <c r="C98" s="17"/>
      <c r="D98" s="3">
        <v>6272</v>
      </c>
      <c r="E98" s="3" t="s">
        <v>253</v>
      </c>
      <c r="F98" s="35"/>
      <c r="G98" s="35"/>
      <c r="H98" s="35"/>
      <c r="I98" s="35"/>
      <c r="J98" s="35"/>
      <c r="K98" s="35"/>
      <c r="L98" s="35"/>
      <c r="M98" s="35">
        <f t="shared" si="37"/>
        <v>0</v>
      </c>
      <c r="N98" s="35" t="e">
        <f t="shared" si="40"/>
        <v>#DIV/0!</v>
      </c>
    </row>
    <row r="99" spans="2:14" x14ac:dyDescent="0.3">
      <c r="B99" s="27"/>
      <c r="C99" s="17"/>
      <c r="D99" s="3">
        <v>6273</v>
      </c>
      <c r="E99" s="3" t="s">
        <v>254</v>
      </c>
      <c r="F99" s="35"/>
      <c r="G99" s="35"/>
      <c r="H99" s="35"/>
      <c r="I99" s="35"/>
      <c r="J99" s="35"/>
      <c r="K99" s="35"/>
      <c r="L99" s="35"/>
      <c r="M99" s="35">
        <f t="shared" si="37"/>
        <v>0</v>
      </c>
      <c r="N99" s="35" t="e">
        <f t="shared" si="40"/>
        <v>#DIV/0!</v>
      </c>
    </row>
    <row r="100" spans="2:14" x14ac:dyDescent="0.3">
      <c r="B100" s="27"/>
      <c r="C100" s="17"/>
      <c r="D100" s="3">
        <v>6274</v>
      </c>
      <c r="E100" s="3" t="s">
        <v>255</v>
      </c>
      <c r="F100" s="35"/>
      <c r="G100" s="35"/>
      <c r="H100" s="35"/>
      <c r="I100" s="35"/>
      <c r="J100" s="35"/>
      <c r="K100" s="35"/>
      <c r="L100" s="35"/>
      <c r="M100" s="35">
        <f t="shared" si="37"/>
        <v>0</v>
      </c>
      <c r="N100" s="35" t="e">
        <f t="shared" si="40"/>
        <v>#DIV/0!</v>
      </c>
    </row>
    <row r="101" spans="2:14" x14ac:dyDescent="0.3">
      <c r="B101" s="27"/>
      <c r="C101" s="17"/>
      <c r="D101" s="3">
        <v>6275</v>
      </c>
      <c r="E101" s="3" t="s">
        <v>256</v>
      </c>
      <c r="F101" s="35"/>
      <c r="G101" s="35"/>
      <c r="H101" s="35"/>
      <c r="I101" s="35"/>
      <c r="J101" s="35"/>
      <c r="K101" s="35"/>
      <c r="L101" s="35"/>
      <c r="M101" s="35">
        <f t="shared" si="37"/>
        <v>0</v>
      </c>
      <c r="N101" s="35" t="e">
        <f t="shared" si="40"/>
        <v>#DIV/0!</v>
      </c>
    </row>
    <row r="102" spans="2:14" x14ac:dyDescent="0.3">
      <c r="B102" s="27"/>
      <c r="C102" s="17"/>
      <c r="D102" s="3">
        <v>6278</v>
      </c>
      <c r="E102" s="3" t="s">
        <v>257</v>
      </c>
      <c r="F102" s="35"/>
      <c r="G102" s="35"/>
      <c r="H102" s="35"/>
      <c r="I102" s="35"/>
      <c r="J102" s="35"/>
      <c r="K102" s="35"/>
      <c r="L102" s="35"/>
      <c r="M102" s="35">
        <f t="shared" si="37"/>
        <v>0</v>
      </c>
      <c r="N102" s="35" t="e">
        <f t="shared" si="40"/>
        <v>#DIV/0!</v>
      </c>
    </row>
    <row r="103" spans="2:14" s="10" customFormat="1" x14ac:dyDescent="0.3">
      <c r="B103" s="27"/>
      <c r="C103" s="17">
        <v>628</v>
      </c>
      <c r="D103" s="3"/>
      <c r="E103" s="17" t="s">
        <v>258</v>
      </c>
      <c r="F103" s="43">
        <f>SUM(F104:F111)</f>
        <v>0</v>
      </c>
      <c r="G103" s="43">
        <f t="shared" ref="G103:L103" si="41">SUM(G104:G111)</f>
        <v>0</v>
      </c>
      <c r="H103" s="43">
        <f t="shared" si="41"/>
        <v>0</v>
      </c>
      <c r="I103" s="43">
        <f t="shared" si="41"/>
        <v>0</v>
      </c>
      <c r="J103" s="43">
        <f t="shared" si="41"/>
        <v>0</v>
      </c>
      <c r="K103" s="43">
        <f t="shared" si="41"/>
        <v>0</v>
      </c>
      <c r="L103" s="43">
        <f t="shared" si="41"/>
        <v>0</v>
      </c>
      <c r="M103" s="35">
        <f t="shared" si="37"/>
        <v>0</v>
      </c>
      <c r="N103" s="43"/>
    </row>
    <row r="104" spans="2:14" x14ac:dyDescent="0.3">
      <c r="B104" s="27"/>
      <c r="C104" s="17"/>
      <c r="D104" s="3">
        <v>6281</v>
      </c>
      <c r="E104" s="3" t="s">
        <v>259</v>
      </c>
      <c r="F104" s="35"/>
      <c r="G104" s="35"/>
      <c r="H104" s="35"/>
      <c r="I104" s="35"/>
      <c r="J104" s="35"/>
      <c r="K104" s="35"/>
      <c r="L104" s="35"/>
      <c r="M104" s="35">
        <f t="shared" si="37"/>
        <v>0</v>
      </c>
      <c r="N104" s="35" t="e">
        <f t="shared" ref="N104:N111" si="42">K104/I104</f>
        <v>#DIV/0!</v>
      </c>
    </row>
    <row r="105" spans="2:14" x14ac:dyDescent="0.3">
      <c r="B105" s="27"/>
      <c r="C105" s="17"/>
      <c r="D105" s="3">
        <v>6282</v>
      </c>
      <c r="E105" s="3" t="s">
        <v>260</v>
      </c>
      <c r="F105" s="35"/>
      <c r="G105" s="35"/>
      <c r="H105" s="35"/>
      <c r="I105" s="35"/>
      <c r="J105" s="35"/>
      <c r="K105" s="35"/>
      <c r="L105" s="35"/>
      <c r="M105" s="35">
        <f t="shared" si="37"/>
        <v>0</v>
      </c>
      <c r="N105" s="35" t="e">
        <f t="shared" si="42"/>
        <v>#DIV/0!</v>
      </c>
    </row>
    <row r="106" spans="2:14" x14ac:dyDescent="0.3">
      <c r="B106" s="27"/>
      <c r="C106" s="17"/>
      <c r="D106" s="3">
        <v>6283</v>
      </c>
      <c r="E106" s="3" t="s">
        <v>261</v>
      </c>
      <c r="F106" s="35"/>
      <c r="G106" s="35"/>
      <c r="H106" s="35"/>
      <c r="I106" s="35"/>
      <c r="J106" s="35"/>
      <c r="K106" s="35"/>
      <c r="L106" s="35"/>
      <c r="M106" s="35">
        <f t="shared" si="37"/>
        <v>0</v>
      </c>
      <c r="N106" s="35" t="e">
        <f t="shared" si="42"/>
        <v>#DIV/0!</v>
      </c>
    </row>
    <row r="107" spans="2:14" x14ac:dyDescent="0.3">
      <c r="B107" s="27"/>
      <c r="C107" s="17"/>
      <c r="D107" s="3">
        <v>6284</v>
      </c>
      <c r="E107" s="3" t="s">
        <v>262</v>
      </c>
      <c r="F107" s="35"/>
      <c r="G107" s="35"/>
      <c r="H107" s="35"/>
      <c r="I107" s="35"/>
      <c r="J107" s="35"/>
      <c r="K107" s="35"/>
      <c r="L107" s="35"/>
      <c r="M107" s="35">
        <f t="shared" si="37"/>
        <v>0</v>
      </c>
      <c r="N107" s="35" t="e">
        <f t="shared" si="42"/>
        <v>#DIV/0!</v>
      </c>
    </row>
    <row r="108" spans="2:14" x14ac:dyDescent="0.3">
      <c r="B108" s="27"/>
      <c r="C108" s="17"/>
      <c r="D108" s="3">
        <v>6285</v>
      </c>
      <c r="E108" s="3" t="s">
        <v>263</v>
      </c>
      <c r="F108" s="35"/>
      <c r="G108" s="35"/>
      <c r="H108" s="35"/>
      <c r="I108" s="35"/>
      <c r="J108" s="35"/>
      <c r="K108" s="35"/>
      <c r="L108" s="35"/>
      <c r="M108" s="35">
        <f t="shared" si="37"/>
        <v>0</v>
      </c>
      <c r="N108" s="35" t="e">
        <f t="shared" si="42"/>
        <v>#DIV/0!</v>
      </c>
    </row>
    <row r="109" spans="2:14" x14ac:dyDescent="0.3">
      <c r="B109" s="27"/>
      <c r="C109" s="17"/>
      <c r="D109" s="3">
        <v>6286</v>
      </c>
      <c r="E109" s="3" t="s">
        <v>264</v>
      </c>
      <c r="F109" s="35"/>
      <c r="G109" s="35"/>
      <c r="H109" s="35"/>
      <c r="I109" s="35"/>
      <c r="J109" s="35"/>
      <c r="K109" s="35"/>
      <c r="L109" s="35"/>
      <c r="M109" s="35">
        <f t="shared" si="37"/>
        <v>0</v>
      </c>
      <c r="N109" s="35" t="e">
        <f t="shared" si="42"/>
        <v>#DIV/0!</v>
      </c>
    </row>
    <row r="110" spans="2:14" x14ac:dyDescent="0.3">
      <c r="B110" s="27"/>
      <c r="C110" s="17"/>
      <c r="D110" s="3">
        <v>6287</v>
      </c>
      <c r="E110" s="3" t="s">
        <v>265</v>
      </c>
      <c r="F110" s="35"/>
      <c r="G110" s="35"/>
      <c r="H110" s="35"/>
      <c r="I110" s="35"/>
      <c r="J110" s="35"/>
      <c r="K110" s="35"/>
      <c r="L110" s="35"/>
      <c r="M110" s="35">
        <f t="shared" si="37"/>
        <v>0</v>
      </c>
      <c r="N110" s="35" t="e">
        <f t="shared" si="42"/>
        <v>#DIV/0!</v>
      </c>
    </row>
    <row r="111" spans="2:14" x14ac:dyDescent="0.3">
      <c r="B111" s="27"/>
      <c r="C111" s="17"/>
      <c r="D111" s="3">
        <v>6288</v>
      </c>
      <c r="E111" s="3" t="s">
        <v>266</v>
      </c>
      <c r="F111" s="35"/>
      <c r="G111" s="35"/>
      <c r="H111" s="35"/>
      <c r="I111" s="35"/>
      <c r="J111" s="35"/>
      <c r="K111" s="35"/>
      <c r="L111" s="35"/>
      <c r="M111" s="35">
        <f t="shared" si="37"/>
        <v>0</v>
      </c>
      <c r="N111" s="35" t="e">
        <f t="shared" si="42"/>
        <v>#DIV/0!</v>
      </c>
    </row>
    <row r="112" spans="2:14" s="10" customFormat="1" ht="30" customHeight="1" x14ac:dyDescent="0.3">
      <c r="B112" s="27">
        <v>63</v>
      </c>
      <c r="C112" s="17"/>
      <c r="D112" s="17"/>
      <c r="E112" s="17" t="s">
        <v>156</v>
      </c>
      <c r="F112" s="43">
        <f>SUM(F113,F115,F117,F119)</f>
        <v>0</v>
      </c>
      <c r="G112" s="43">
        <f t="shared" ref="G112:M112" si="43">SUM(G113,G115,G117,G119)</f>
        <v>0</v>
      </c>
      <c r="H112" s="43">
        <f t="shared" si="43"/>
        <v>0</v>
      </c>
      <c r="I112" s="43">
        <f t="shared" si="43"/>
        <v>0</v>
      </c>
      <c r="J112" s="43">
        <f t="shared" si="43"/>
        <v>0</v>
      </c>
      <c r="K112" s="43">
        <f t="shared" si="43"/>
        <v>0</v>
      </c>
      <c r="L112" s="43">
        <f t="shared" si="43"/>
        <v>0</v>
      </c>
      <c r="M112" s="43">
        <f t="shared" si="43"/>
        <v>0</v>
      </c>
      <c r="N112" s="43" t="e">
        <f>K112/I112</f>
        <v>#DIV/0!</v>
      </c>
    </row>
    <row r="113" spans="2:14" s="10" customFormat="1" x14ac:dyDescent="0.3">
      <c r="B113" s="27"/>
      <c r="C113" s="17">
        <v>631</v>
      </c>
      <c r="D113" s="3"/>
      <c r="E113" s="17" t="s">
        <v>267</v>
      </c>
      <c r="F113" s="43">
        <f>SUM(F114)</f>
        <v>0</v>
      </c>
      <c r="G113" s="43">
        <f t="shared" ref="G113:L113" si="44">SUM(G114)</f>
        <v>0</v>
      </c>
      <c r="H113" s="43">
        <f t="shared" si="44"/>
        <v>0</v>
      </c>
      <c r="I113" s="43">
        <f t="shared" si="44"/>
        <v>0</v>
      </c>
      <c r="J113" s="43">
        <f t="shared" si="44"/>
        <v>0</v>
      </c>
      <c r="K113" s="43">
        <f t="shared" si="44"/>
        <v>0</v>
      </c>
      <c r="L113" s="43">
        <f t="shared" si="44"/>
        <v>0</v>
      </c>
      <c r="M113" s="35">
        <f t="shared" ref="M113:M120" si="45">K113-L113</f>
        <v>0</v>
      </c>
      <c r="N113" s="43"/>
    </row>
    <row r="114" spans="2:14" x14ac:dyDescent="0.3">
      <c r="B114" s="27"/>
      <c r="C114" s="17"/>
      <c r="D114" s="3">
        <v>6310</v>
      </c>
      <c r="E114" s="3" t="s">
        <v>267</v>
      </c>
      <c r="F114" s="35"/>
      <c r="G114" s="35"/>
      <c r="H114" s="35"/>
      <c r="I114" s="35"/>
      <c r="J114" s="35"/>
      <c r="K114" s="35"/>
      <c r="L114" s="35"/>
      <c r="M114" s="35">
        <f t="shared" si="45"/>
        <v>0</v>
      </c>
      <c r="N114" s="35" t="e">
        <f t="shared" ref="N114" si="46">K114/I114</f>
        <v>#DIV/0!</v>
      </c>
    </row>
    <row r="115" spans="2:14" s="10" customFormat="1" x14ac:dyDescent="0.3">
      <c r="B115" s="27"/>
      <c r="C115" s="17">
        <v>632</v>
      </c>
      <c r="D115" s="3"/>
      <c r="E115" s="17" t="s">
        <v>268</v>
      </c>
      <c r="F115" s="43">
        <f>SUM(F116)</f>
        <v>0</v>
      </c>
      <c r="G115" s="43">
        <f t="shared" ref="G115:L115" si="47">SUM(G116)</f>
        <v>0</v>
      </c>
      <c r="H115" s="43">
        <f t="shared" si="47"/>
        <v>0</v>
      </c>
      <c r="I115" s="43">
        <f t="shared" si="47"/>
        <v>0</v>
      </c>
      <c r="J115" s="43">
        <f t="shared" si="47"/>
        <v>0</v>
      </c>
      <c r="K115" s="43">
        <f t="shared" si="47"/>
        <v>0</v>
      </c>
      <c r="L115" s="43">
        <f t="shared" si="47"/>
        <v>0</v>
      </c>
      <c r="M115" s="35">
        <f t="shared" si="45"/>
        <v>0</v>
      </c>
      <c r="N115" s="43"/>
    </row>
    <row r="116" spans="2:14" x14ac:dyDescent="0.3">
      <c r="B116" s="27"/>
      <c r="C116" s="17"/>
      <c r="D116" s="3">
        <v>6320</v>
      </c>
      <c r="E116" s="3" t="s">
        <v>268</v>
      </c>
      <c r="F116" s="35"/>
      <c r="G116" s="35"/>
      <c r="H116" s="35"/>
      <c r="I116" s="35"/>
      <c r="J116" s="35"/>
      <c r="K116" s="35"/>
      <c r="L116" s="35"/>
      <c r="M116" s="35">
        <f t="shared" si="45"/>
        <v>0</v>
      </c>
      <c r="N116" s="35" t="e">
        <f t="shared" ref="N116" si="48">K116/I116</f>
        <v>#DIV/0!</v>
      </c>
    </row>
    <row r="117" spans="2:14" s="10" customFormat="1" x14ac:dyDescent="0.3">
      <c r="B117" s="27"/>
      <c r="C117" s="17">
        <v>633</v>
      </c>
      <c r="D117" s="3"/>
      <c r="E117" s="17" t="s">
        <v>269</v>
      </c>
      <c r="F117" s="43">
        <f>SUM(F118)</f>
        <v>0</v>
      </c>
      <c r="G117" s="43">
        <f t="shared" ref="G117:L117" si="49">SUM(G118)</f>
        <v>0</v>
      </c>
      <c r="H117" s="43">
        <f t="shared" si="49"/>
        <v>0</v>
      </c>
      <c r="I117" s="43">
        <f t="shared" si="49"/>
        <v>0</v>
      </c>
      <c r="J117" s="43">
        <f t="shared" si="49"/>
        <v>0</v>
      </c>
      <c r="K117" s="43">
        <f t="shared" si="49"/>
        <v>0</v>
      </c>
      <c r="L117" s="43">
        <f t="shared" si="49"/>
        <v>0</v>
      </c>
      <c r="M117" s="35">
        <f t="shared" si="45"/>
        <v>0</v>
      </c>
      <c r="N117" s="43"/>
    </row>
    <row r="118" spans="2:14" x14ac:dyDescent="0.3">
      <c r="B118" s="27"/>
      <c r="C118" s="17"/>
      <c r="D118" s="3">
        <v>6330</v>
      </c>
      <c r="E118" s="3" t="s">
        <v>269</v>
      </c>
      <c r="F118" s="35"/>
      <c r="G118" s="35"/>
      <c r="H118" s="35"/>
      <c r="I118" s="35"/>
      <c r="J118" s="35"/>
      <c r="K118" s="35"/>
      <c r="L118" s="35"/>
      <c r="M118" s="35">
        <f t="shared" si="45"/>
        <v>0</v>
      </c>
      <c r="N118" s="35" t="e">
        <f t="shared" ref="N118" si="50">K118/I118</f>
        <v>#DIV/0!</v>
      </c>
    </row>
    <row r="119" spans="2:14" s="10" customFormat="1" x14ac:dyDescent="0.3">
      <c r="B119" s="27"/>
      <c r="C119" s="17">
        <v>638</v>
      </c>
      <c r="D119" s="3"/>
      <c r="E119" s="17" t="s">
        <v>270</v>
      </c>
      <c r="F119" s="43">
        <f>SUM(F120)</f>
        <v>0</v>
      </c>
      <c r="G119" s="43">
        <f t="shared" ref="G119:L119" si="51">SUM(G120)</f>
        <v>0</v>
      </c>
      <c r="H119" s="43">
        <f t="shared" si="51"/>
        <v>0</v>
      </c>
      <c r="I119" s="43">
        <f t="shared" si="51"/>
        <v>0</v>
      </c>
      <c r="J119" s="43">
        <f t="shared" si="51"/>
        <v>0</v>
      </c>
      <c r="K119" s="43">
        <f t="shared" si="51"/>
        <v>0</v>
      </c>
      <c r="L119" s="43">
        <f t="shared" si="51"/>
        <v>0</v>
      </c>
      <c r="M119" s="35">
        <f t="shared" si="45"/>
        <v>0</v>
      </c>
      <c r="N119" s="43"/>
    </row>
    <row r="120" spans="2:14" x14ac:dyDescent="0.3">
      <c r="B120" s="27"/>
      <c r="C120" s="17"/>
      <c r="D120" s="3">
        <v>6380</v>
      </c>
      <c r="E120" s="3" t="s">
        <v>270</v>
      </c>
      <c r="F120" s="35"/>
      <c r="G120" s="35"/>
      <c r="H120" s="35"/>
      <c r="I120" s="35"/>
      <c r="J120" s="35"/>
      <c r="K120" s="35"/>
      <c r="L120" s="35"/>
      <c r="M120" s="35">
        <f t="shared" si="45"/>
        <v>0</v>
      </c>
      <c r="N120" s="35" t="e">
        <f t="shared" ref="N120" si="52">K120/I120</f>
        <v>#DIV/0!</v>
      </c>
    </row>
    <row r="121" spans="2:14" s="10" customFormat="1" ht="30" customHeight="1" x14ac:dyDescent="0.3">
      <c r="B121" s="27">
        <v>64</v>
      </c>
      <c r="C121" s="17"/>
      <c r="D121" s="17"/>
      <c r="E121" s="17" t="s">
        <v>157</v>
      </c>
      <c r="F121" s="43">
        <f>SUM(F122,F124,F126,F128,F130)</f>
        <v>0</v>
      </c>
      <c r="G121" s="43">
        <f t="shared" ref="G121:M121" si="53">SUM(G122,G124,G126,G128,G130)</f>
        <v>0</v>
      </c>
      <c r="H121" s="43">
        <f t="shared" si="53"/>
        <v>0</v>
      </c>
      <c r="I121" s="43">
        <f t="shared" si="53"/>
        <v>0</v>
      </c>
      <c r="J121" s="43">
        <f t="shared" si="53"/>
        <v>0</v>
      </c>
      <c r="K121" s="43">
        <f t="shared" si="53"/>
        <v>0</v>
      </c>
      <c r="L121" s="43">
        <f t="shared" si="53"/>
        <v>0</v>
      </c>
      <c r="M121" s="43">
        <f t="shared" si="53"/>
        <v>0</v>
      </c>
      <c r="N121" s="43" t="e">
        <f>K121/I121</f>
        <v>#DIV/0!</v>
      </c>
    </row>
    <row r="122" spans="2:14" x14ac:dyDescent="0.3">
      <c r="B122" s="27"/>
      <c r="C122" s="17">
        <v>641</v>
      </c>
      <c r="D122" s="3"/>
      <c r="E122" s="17" t="s">
        <v>271</v>
      </c>
      <c r="F122" s="43">
        <f>SUM(F123)</f>
        <v>0</v>
      </c>
      <c r="G122" s="43">
        <f t="shared" ref="G122:L122" si="54">SUM(G123)</f>
        <v>0</v>
      </c>
      <c r="H122" s="43">
        <f t="shared" si="54"/>
        <v>0</v>
      </c>
      <c r="I122" s="43">
        <f t="shared" si="54"/>
        <v>0</v>
      </c>
      <c r="J122" s="43">
        <f t="shared" si="54"/>
        <v>0</v>
      </c>
      <c r="K122" s="43">
        <f t="shared" si="54"/>
        <v>0</v>
      </c>
      <c r="L122" s="43">
        <f t="shared" si="54"/>
        <v>0</v>
      </c>
      <c r="M122" s="35">
        <f t="shared" ref="M122:M131" si="55">K122-L122</f>
        <v>0</v>
      </c>
      <c r="N122" s="35"/>
    </row>
    <row r="123" spans="2:14" x14ac:dyDescent="0.3">
      <c r="B123" s="27"/>
      <c r="C123" s="17"/>
      <c r="D123" s="3">
        <v>6418</v>
      </c>
      <c r="E123" s="3" t="s">
        <v>272</v>
      </c>
      <c r="F123" s="35"/>
      <c r="G123" s="35"/>
      <c r="H123" s="35"/>
      <c r="I123" s="35"/>
      <c r="J123" s="35"/>
      <c r="K123" s="35"/>
      <c r="L123" s="35"/>
      <c r="M123" s="35">
        <f t="shared" si="55"/>
        <v>0</v>
      </c>
      <c r="N123" s="35" t="e">
        <f t="shared" ref="N123" si="56">K123/I123</f>
        <v>#DIV/0!</v>
      </c>
    </row>
    <row r="124" spans="2:14" s="10" customFormat="1" x14ac:dyDescent="0.3">
      <c r="B124" s="27"/>
      <c r="C124" s="17">
        <v>642</v>
      </c>
      <c r="D124" s="17"/>
      <c r="E124" s="17" t="s">
        <v>273</v>
      </c>
      <c r="F124" s="43">
        <f>SUM(F125)</f>
        <v>0</v>
      </c>
      <c r="G124" s="43">
        <f t="shared" ref="G124:L124" si="57">SUM(G125)</f>
        <v>0</v>
      </c>
      <c r="H124" s="43">
        <f t="shared" si="57"/>
        <v>0</v>
      </c>
      <c r="I124" s="43">
        <f t="shared" si="57"/>
        <v>0</v>
      </c>
      <c r="J124" s="43">
        <f t="shared" si="57"/>
        <v>0</v>
      </c>
      <c r="K124" s="43">
        <f t="shared" si="57"/>
        <v>0</v>
      </c>
      <c r="L124" s="43">
        <f t="shared" si="57"/>
        <v>0</v>
      </c>
      <c r="M124" s="35">
        <f t="shared" si="55"/>
        <v>0</v>
      </c>
      <c r="N124" s="43"/>
    </row>
    <row r="125" spans="2:14" x14ac:dyDescent="0.3">
      <c r="B125" s="27"/>
      <c r="C125" s="17"/>
      <c r="D125" s="3">
        <v>6420</v>
      </c>
      <c r="E125" s="3" t="s">
        <v>273</v>
      </c>
      <c r="F125" s="35"/>
      <c r="G125" s="35"/>
      <c r="H125" s="35"/>
      <c r="I125" s="35"/>
      <c r="J125" s="35"/>
      <c r="K125" s="35"/>
      <c r="L125" s="35"/>
      <c r="M125" s="35">
        <f t="shared" si="55"/>
        <v>0</v>
      </c>
      <c r="N125" s="35" t="e">
        <f t="shared" ref="N125" si="58">K125/I125</f>
        <v>#DIV/0!</v>
      </c>
    </row>
    <row r="126" spans="2:14" s="10" customFormat="1" x14ac:dyDescent="0.3">
      <c r="B126" s="27"/>
      <c r="C126" s="17">
        <v>643</v>
      </c>
      <c r="D126" s="17"/>
      <c r="E126" s="17" t="s">
        <v>274</v>
      </c>
      <c r="F126" s="43">
        <f>SUM(F127)</f>
        <v>0</v>
      </c>
      <c r="G126" s="43">
        <f t="shared" ref="G126:L126" si="59">SUM(G127)</f>
        <v>0</v>
      </c>
      <c r="H126" s="43">
        <f t="shared" si="59"/>
        <v>0</v>
      </c>
      <c r="I126" s="43">
        <f t="shared" si="59"/>
        <v>0</v>
      </c>
      <c r="J126" s="43">
        <f t="shared" si="59"/>
        <v>0</v>
      </c>
      <c r="K126" s="43">
        <f t="shared" si="59"/>
        <v>0</v>
      </c>
      <c r="L126" s="43">
        <f t="shared" si="59"/>
        <v>0</v>
      </c>
      <c r="M126" s="35">
        <f t="shared" si="55"/>
        <v>0</v>
      </c>
      <c r="N126" s="43"/>
    </row>
    <row r="127" spans="2:14" x14ac:dyDescent="0.3">
      <c r="B127" s="27"/>
      <c r="C127" s="17"/>
      <c r="D127" s="3">
        <v>6430</v>
      </c>
      <c r="E127" s="3" t="s">
        <v>274</v>
      </c>
      <c r="F127" s="35"/>
      <c r="G127" s="35"/>
      <c r="H127" s="35"/>
      <c r="I127" s="35"/>
      <c r="J127" s="35"/>
      <c r="K127" s="35"/>
      <c r="L127" s="35"/>
      <c r="M127" s="35">
        <f t="shared" si="55"/>
        <v>0</v>
      </c>
      <c r="N127" s="35" t="e">
        <f t="shared" ref="N127" si="60">K127/I127</f>
        <v>#DIV/0!</v>
      </c>
    </row>
    <row r="128" spans="2:14" s="10" customFormat="1" x14ac:dyDescent="0.3">
      <c r="B128" s="27"/>
      <c r="C128" s="17">
        <v>644</v>
      </c>
      <c r="D128" s="17"/>
      <c r="E128" s="17" t="s">
        <v>275</v>
      </c>
      <c r="F128" s="43">
        <f>SUM(F129)</f>
        <v>0</v>
      </c>
      <c r="G128" s="43">
        <f t="shared" ref="G128:L128" si="61">SUM(G129)</f>
        <v>0</v>
      </c>
      <c r="H128" s="43">
        <f t="shared" si="61"/>
        <v>0</v>
      </c>
      <c r="I128" s="43">
        <f t="shared" si="61"/>
        <v>0</v>
      </c>
      <c r="J128" s="43">
        <f t="shared" si="61"/>
        <v>0</v>
      </c>
      <c r="K128" s="43">
        <f t="shared" si="61"/>
        <v>0</v>
      </c>
      <c r="L128" s="43">
        <f t="shared" si="61"/>
        <v>0</v>
      </c>
      <c r="M128" s="35">
        <f t="shared" si="55"/>
        <v>0</v>
      </c>
      <c r="N128" s="43"/>
    </row>
    <row r="129" spans="2:14" x14ac:dyDescent="0.3">
      <c r="B129" s="27"/>
      <c r="C129" s="17"/>
      <c r="D129" s="3">
        <v>6440</v>
      </c>
      <c r="E129" s="3" t="s">
        <v>275</v>
      </c>
      <c r="F129" s="35"/>
      <c r="G129" s="35"/>
      <c r="H129" s="35"/>
      <c r="I129" s="35"/>
      <c r="J129" s="35"/>
      <c r="K129" s="35"/>
      <c r="L129" s="35"/>
      <c r="M129" s="35">
        <f t="shared" si="55"/>
        <v>0</v>
      </c>
      <c r="N129" s="35" t="e">
        <f t="shared" ref="N129" si="62">K129/I129</f>
        <v>#DIV/0!</v>
      </c>
    </row>
    <row r="130" spans="2:14" s="10" customFormat="1" x14ac:dyDescent="0.3">
      <c r="B130" s="27"/>
      <c r="C130" s="17">
        <v>648</v>
      </c>
      <c r="D130" s="17"/>
      <c r="E130" s="17" t="s">
        <v>276</v>
      </c>
      <c r="F130" s="43">
        <f>SUM(F131)</f>
        <v>0</v>
      </c>
      <c r="G130" s="43">
        <f t="shared" ref="G130:L130" si="63">SUM(G131)</f>
        <v>0</v>
      </c>
      <c r="H130" s="43">
        <f t="shared" si="63"/>
        <v>0</v>
      </c>
      <c r="I130" s="43">
        <f t="shared" si="63"/>
        <v>0</v>
      </c>
      <c r="J130" s="43">
        <f t="shared" si="63"/>
        <v>0</v>
      </c>
      <c r="K130" s="43">
        <f t="shared" si="63"/>
        <v>0</v>
      </c>
      <c r="L130" s="43">
        <f t="shared" si="63"/>
        <v>0</v>
      </c>
      <c r="M130" s="35">
        <f t="shared" si="55"/>
        <v>0</v>
      </c>
      <c r="N130" s="43"/>
    </row>
    <row r="131" spans="2:14" x14ac:dyDescent="0.3">
      <c r="B131" s="27"/>
      <c r="C131" s="17"/>
      <c r="D131" s="3">
        <v>6480</v>
      </c>
      <c r="E131" s="3" t="s">
        <v>276</v>
      </c>
      <c r="F131" s="35"/>
      <c r="G131" s="35"/>
      <c r="H131" s="35"/>
      <c r="I131" s="35"/>
      <c r="J131" s="35"/>
      <c r="K131" s="35"/>
      <c r="L131" s="35"/>
      <c r="M131" s="35">
        <f t="shared" si="55"/>
        <v>0</v>
      </c>
      <c r="N131" s="35" t="e">
        <f t="shared" ref="N131" si="64">K131/I131</f>
        <v>#DIV/0!</v>
      </c>
    </row>
    <row r="132" spans="2:14" s="10" customFormat="1" ht="30" customHeight="1" x14ac:dyDescent="0.3">
      <c r="B132" s="27">
        <v>65</v>
      </c>
      <c r="C132" s="17"/>
      <c r="D132" s="17"/>
      <c r="E132" s="17" t="s">
        <v>158</v>
      </c>
      <c r="F132" s="43">
        <f>SUM(F133,F140,F142,F144)</f>
        <v>0</v>
      </c>
      <c r="G132" s="43">
        <f t="shared" ref="G132:M132" si="65">SUM(G133,G140,G142,G144)</f>
        <v>0</v>
      </c>
      <c r="H132" s="43">
        <f t="shared" si="65"/>
        <v>0</v>
      </c>
      <c r="I132" s="43">
        <f t="shared" si="65"/>
        <v>0</v>
      </c>
      <c r="J132" s="43">
        <f t="shared" si="65"/>
        <v>0</v>
      </c>
      <c r="K132" s="43">
        <f t="shared" si="65"/>
        <v>0</v>
      </c>
      <c r="L132" s="43">
        <f t="shared" si="65"/>
        <v>0</v>
      </c>
      <c r="M132" s="43">
        <f t="shared" si="65"/>
        <v>0</v>
      </c>
      <c r="N132" s="43" t="e">
        <f>K132/I132</f>
        <v>#DIV/0!</v>
      </c>
    </row>
    <row r="133" spans="2:14" x14ac:dyDescent="0.3">
      <c r="B133" s="27"/>
      <c r="C133" s="17">
        <v>651</v>
      </c>
      <c r="D133" s="3"/>
      <c r="E133" s="17" t="s">
        <v>277</v>
      </c>
      <c r="F133" s="35">
        <f>SUM(F134:F139)</f>
        <v>0</v>
      </c>
      <c r="G133" s="35">
        <f t="shared" ref="G133:L133" si="66">SUM(G134:G139)</f>
        <v>0</v>
      </c>
      <c r="H133" s="35">
        <f t="shared" si="66"/>
        <v>0</v>
      </c>
      <c r="I133" s="35">
        <f t="shared" si="66"/>
        <v>0</v>
      </c>
      <c r="J133" s="35">
        <f t="shared" si="66"/>
        <v>0</v>
      </c>
      <c r="K133" s="35">
        <f t="shared" si="66"/>
        <v>0</v>
      </c>
      <c r="L133" s="35">
        <f t="shared" si="66"/>
        <v>0</v>
      </c>
      <c r="M133" s="35">
        <f>K133-L133</f>
        <v>0</v>
      </c>
      <c r="N133" s="35"/>
    </row>
    <row r="134" spans="2:14" x14ac:dyDescent="0.3">
      <c r="B134" s="27"/>
      <c r="C134" s="17"/>
      <c r="D134" s="3">
        <v>6510</v>
      </c>
      <c r="E134" s="3" t="s">
        <v>277</v>
      </c>
      <c r="F134" s="35"/>
      <c r="G134" s="35"/>
      <c r="H134" s="35"/>
      <c r="I134" s="35"/>
      <c r="J134" s="35"/>
      <c r="K134" s="35"/>
      <c r="L134" s="35"/>
      <c r="M134" s="35">
        <f>K134-L134</f>
        <v>0</v>
      </c>
      <c r="N134" s="35" t="e">
        <f t="shared" ref="N134" si="67">K134/I134</f>
        <v>#DIV/0!</v>
      </c>
    </row>
    <row r="135" spans="2:14" x14ac:dyDescent="0.3">
      <c r="B135" s="27"/>
      <c r="C135" s="17">
        <v>653</v>
      </c>
      <c r="D135" s="3"/>
      <c r="E135" s="3" t="s">
        <v>278</v>
      </c>
      <c r="F135" s="35"/>
      <c r="G135" s="35"/>
      <c r="H135" s="35"/>
      <c r="I135" s="35"/>
      <c r="J135" s="35"/>
      <c r="K135" s="35"/>
      <c r="L135" s="35"/>
      <c r="M135" s="35">
        <f>K135-L135</f>
        <v>0</v>
      </c>
      <c r="N135" s="35"/>
    </row>
    <row r="136" spans="2:14" x14ac:dyDescent="0.3">
      <c r="B136" s="27"/>
      <c r="C136" s="17"/>
      <c r="D136" s="3">
        <v>6531</v>
      </c>
      <c r="E136" s="3" t="s">
        <v>279</v>
      </c>
      <c r="F136" s="35"/>
      <c r="G136" s="35"/>
      <c r="H136" s="35"/>
      <c r="I136" s="35"/>
      <c r="J136" s="35"/>
      <c r="K136" s="35"/>
      <c r="L136" s="35"/>
      <c r="M136" s="35">
        <f t="shared" ref="M136:M139" si="68">K136-L136</f>
        <v>0</v>
      </c>
      <c r="N136" s="35" t="e">
        <f t="shared" ref="N136:N139" si="69">K136/I136</f>
        <v>#DIV/0!</v>
      </c>
    </row>
    <row r="137" spans="2:14" x14ac:dyDescent="0.3">
      <c r="B137" s="27"/>
      <c r="C137" s="17"/>
      <c r="D137" s="3">
        <v>6532</v>
      </c>
      <c r="E137" s="3" t="s">
        <v>280</v>
      </c>
      <c r="F137" s="35"/>
      <c r="G137" s="35"/>
      <c r="H137" s="35"/>
      <c r="I137" s="35"/>
      <c r="J137" s="35"/>
      <c r="K137" s="35"/>
      <c r="L137" s="35"/>
      <c r="M137" s="35">
        <f t="shared" si="68"/>
        <v>0</v>
      </c>
      <c r="N137" s="35" t="e">
        <f t="shared" si="69"/>
        <v>#DIV/0!</v>
      </c>
    </row>
    <row r="138" spans="2:14" x14ac:dyDescent="0.3">
      <c r="B138" s="3"/>
      <c r="C138" s="3"/>
      <c r="D138" s="3">
        <v>6533</v>
      </c>
      <c r="E138" s="3" t="s">
        <v>281</v>
      </c>
      <c r="F138" s="35"/>
      <c r="G138" s="35"/>
      <c r="H138" s="35"/>
      <c r="I138" s="35"/>
      <c r="J138" s="35"/>
      <c r="K138" s="35"/>
      <c r="L138" s="35"/>
      <c r="M138" s="35">
        <f t="shared" si="68"/>
        <v>0</v>
      </c>
      <c r="N138" s="35" t="e">
        <f t="shared" si="69"/>
        <v>#DIV/0!</v>
      </c>
    </row>
    <row r="139" spans="2:14" x14ac:dyDescent="0.3">
      <c r="B139" s="27"/>
      <c r="C139" s="17"/>
      <c r="D139" s="3">
        <v>6534</v>
      </c>
      <c r="E139" s="3" t="s">
        <v>282</v>
      </c>
      <c r="F139" s="35"/>
      <c r="G139" s="35"/>
      <c r="H139" s="35"/>
      <c r="I139" s="35"/>
      <c r="J139" s="35"/>
      <c r="K139" s="35"/>
      <c r="L139" s="35"/>
      <c r="M139" s="35">
        <f t="shared" si="68"/>
        <v>0</v>
      </c>
      <c r="N139" s="35" t="e">
        <f t="shared" si="69"/>
        <v>#DIV/0!</v>
      </c>
    </row>
    <row r="140" spans="2:14" x14ac:dyDescent="0.3">
      <c r="B140" s="27"/>
      <c r="C140" s="17">
        <v>654</v>
      </c>
      <c r="D140" s="3"/>
      <c r="E140" s="17" t="s">
        <v>283</v>
      </c>
      <c r="F140" s="35">
        <f>SUM(F141)</f>
        <v>0</v>
      </c>
      <c r="G140" s="35">
        <f t="shared" ref="G140:L140" si="70">SUM(G141)</f>
        <v>0</v>
      </c>
      <c r="H140" s="35">
        <f t="shared" si="70"/>
        <v>0</v>
      </c>
      <c r="I140" s="35">
        <f t="shared" si="70"/>
        <v>0</v>
      </c>
      <c r="J140" s="35">
        <f t="shared" si="70"/>
        <v>0</v>
      </c>
      <c r="K140" s="35">
        <f t="shared" si="70"/>
        <v>0</v>
      </c>
      <c r="L140" s="35">
        <f t="shared" si="70"/>
        <v>0</v>
      </c>
      <c r="M140" s="35">
        <f>K140-L140</f>
        <v>0</v>
      </c>
      <c r="N140" s="35"/>
    </row>
    <row r="141" spans="2:14" x14ac:dyDescent="0.3">
      <c r="B141" s="27"/>
      <c r="C141" s="17"/>
      <c r="D141" s="3">
        <v>6540</v>
      </c>
      <c r="E141" s="3" t="s">
        <v>283</v>
      </c>
      <c r="F141" s="35"/>
      <c r="G141" s="35"/>
      <c r="H141" s="35"/>
      <c r="I141" s="35"/>
      <c r="J141" s="35"/>
      <c r="K141" s="35"/>
      <c r="L141" s="35"/>
      <c r="M141" s="35">
        <f>K141-L141</f>
        <v>0</v>
      </c>
      <c r="N141" s="35" t="e">
        <f t="shared" ref="N141" si="71">K141/I141</f>
        <v>#DIV/0!</v>
      </c>
    </row>
    <row r="142" spans="2:14" x14ac:dyDescent="0.3">
      <c r="B142" s="27"/>
      <c r="C142" s="17">
        <v>655</v>
      </c>
      <c r="D142" s="3"/>
      <c r="E142" s="17" t="s">
        <v>284</v>
      </c>
      <c r="F142" s="35">
        <f>SUM(F143)</f>
        <v>0</v>
      </c>
      <c r="G142" s="35">
        <f t="shared" ref="G142:L142" si="72">SUM(G143)</f>
        <v>0</v>
      </c>
      <c r="H142" s="35">
        <f t="shared" si="72"/>
        <v>0</v>
      </c>
      <c r="I142" s="35">
        <f t="shared" si="72"/>
        <v>0</v>
      </c>
      <c r="J142" s="35">
        <f t="shared" si="72"/>
        <v>0</v>
      </c>
      <c r="K142" s="35">
        <f t="shared" si="72"/>
        <v>0</v>
      </c>
      <c r="L142" s="35">
        <f t="shared" si="72"/>
        <v>0</v>
      </c>
      <c r="M142" s="35">
        <f>K142-L142</f>
        <v>0</v>
      </c>
      <c r="N142" s="35"/>
    </row>
    <row r="143" spans="2:14" x14ac:dyDescent="0.3">
      <c r="B143" s="27"/>
      <c r="C143" s="17"/>
      <c r="D143" s="3">
        <v>6550</v>
      </c>
      <c r="E143" s="3" t="s">
        <v>284</v>
      </c>
      <c r="F143" s="35"/>
      <c r="G143" s="35"/>
      <c r="H143" s="35"/>
      <c r="I143" s="35"/>
      <c r="J143" s="35"/>
      <c r="K143" s="35"/>
      <c r="L143" s="35"/>
      <c r="M143" s="35">
        <f>K143-L143</f>
        <v>0</v>
      </c>
      <c r="N143" s="35" t="e">
        <f t="shared" ref="N143" si="73">K143/I143</f>
        <v>#DIV/0!</v>
      </c>
    </row>
    <row r="144" spans="2:14" x14ac:dyDescent="0.3">
      <c r="B144" s="27"/>
      <c r="C144" s="17">
        <v>656</v>
      </c>
      <c r="D144" s="3"/>
      <c r="E144" s="17" t="s">
        <v>285</v>
      </c>
      <c r="F144" s="35">
        <f>SUM(F145:F149)</f>
        <v>0</v>
      </c>
      <c r="G144" s="35">
        <f t="shared" ref="G144:L144" si="74">SUM(G145:G149)</f>
        <v>0</v>
      </c>
      <c r="H144" s="35">
        <f t="shared" si="74"/>
        <v>0</v>
      </c>
      <c r="I144" s="35">
        <f t="shared" si="74"/>
        <v>0</v>
      </c>
      <c r="J144" s="35">
        <f t="shared" si="74"/>
        <v>0</v>
      </c>
      <c r="K144" s="35">
        <f t="shared" si="74"/>
        <v>0</v>
      </c>
      <c r="L144" s="35">
        <f t="shared" si="74"/>
        <v>0</v>
      </c>
      <c r="M144" s="35">
        <f>K144-L144</f>
        <v>0</v>
      </c>
      <c r="N144" s="35"/>
    </row>
    <row r="145" spans="2:14" x14ac:dyDescent="0.3">
      <c r="B145" s="27"/>
      <c r="C145" s="17"/>
      <c r="D145" s="3">
        <v>6561</v>
      </c>
      <c r="E145" s="3" t="s">
        <v>286</v>
      </c>
      <c r="F145" s="35"/>
      <c r="G145" s="35"/>
      <c r="H145" s="35"/>
      <c r="I145" s="35"/>
      <c r="J145" s="35"/>
      <c r="K145" s="35"/>
      <c r="L145" s="35"/>
      <c r="M145" s="35">
        <f t="shared" ref="M145:M149" si="75">K145-L145</f>
        <v>0</v>
      </c>
      <c r="N145" s="35" t="e">
        <f t="shared" ref="N145:N149" si="76">K145/I145</f>
        <v>#DIV/0!</v>
      </c>
    </row>
    <row r="146" spans="2:14" x14ac:dyDescent="0.3">
      <c r="B146" s="27"/>
      <c r="C146" s="17"/>
      <c r="D146" s="3">
        <v>6562</v>
      </c>
      <c r="E146" s="3" t="s">
        <v>287</v>
      </c>
      <c r="F146" s="35"/>
      <c r="G146" s="35"/>
      <c r="H146" s="35"/>
      <c r="I146" s="35"/>
      <c r="J146" s="35"/>
      <c r="K146" s="35"/>
      <c r="L146" s="35"/>
      <c r="M146" s="35">
        <f t="shared" si="75"/>
        <v>0</v>
      </c>
      <c r="N146" s="35" t="e">
        <f t="shared" si="76"/>
        <v>#DIV/0!</v>
      </c>
    </row>
    <row r="147" spans="2:14" x14ac:dyDescent="0.3">
      <c r="B147" s="27"/>
      <c r="C147" s="17"/>
      <c r="D147" s="3">
        <v>6563</v>
      </c>
      <c r="E147" s="3" t="s">
        <v>288</v>
      </c>
      <c r="F147" s="35"/>
      <c r="G147" s="35"/>
      <c r="H147" s="35"/>
      <c r="I147" s="35"/>
      <c r="J147" s="35"/>
      <c r="K147" s="35"/>
      <c r="L147" s="35"/>
      <c r="M147" s="35">
        <f t="shared" si="75"/>
        <v>0</v>
      </c>
      <c r="N147" s="35" t="e">
        <f t="shared" si="76"/>
        <v>#DIV/0!</v>
      </c>
    </row>
    <row r="148" spans="2:14" x14ac:dyDescent="0.3">
      <c r="B148" s="27"/>
      <c r="C148" s="17"/>
      <c r="D148" s="3">
        <v>6564</v>
      </c>
      <c r="E148" s="3" t="s">
        <v>289</v>
      </c>
      <c r="F148" s="35"/>
      <c r="G148" s="35"/>
      <c r="H148" s="35"/>
      <c r="I148" s="35"/>
      <c r="J148" s="35"/>
      <c r="K148" s="35"/>
      <c r="L148" s="35"/>
      <c r="M148" s="35">
        <f t="shared" si="75"/>
        <v>0</v>
      </c>
      <c r="N148" s="35" t="e">
        <f t="shared" si="76"/>
        <v>#DIV/0!</v>
      </c>
    </row>
    <row r="149" spans="2:14" x14ac:dyDescent="0.3">
      <c r="B149" s="27"/>
      <c r="C149" s="17"/>
      <c r="D149" s="3">
        <v>6565</v>
      </c>
      <c r="E149" s="3" t="s">
        <v>290</v>
      </c>
      <c r="F149" s="35"/>
      <c r="G149" s="35"/>
      <c r="H149" s="35"/>
      <c r="I149" s="35"/>
      <c r="J149" s="35"/>
      <c r="K149" s="35"/>
      <c r="L149" s="35"/>
      <c r="M149" s="35">
        <f t="shared" si="75"/>
        <v>0</v>
      </c>
      <c r="N149" s="35" t="e">
        <f t="shared" si="76"/>
        <v>#DIV/0!</v>
      </c>
    </row>
    <row r="150" spans="2:14" s="10" customFormat="1" ht="30" customHeight="1" x14ac:dyDescent="0.3">
      <c r="B150" s="27">
        <v>66</v>
      </c>
      <c r="C150" s="17"/>
      <c r="D150" s="17"/>
      <c r="E150" s="17" t="s">
        <v>159</v>
      </c>
      <c r="F150" s="43">
        <f>SUM(F151,F154,F157,F160,F162)</f>
        <v>0</v>
      </c>
      <c r="G150" s="43">
        <f t="shared" ref="G150:M150" si="77">SUM(G151,G154,G157,G160,G162)</f>
        <v>0</v>
      </c>
      <c r="H150" s="43">
        <f t="shared" si="77"/>
        <v>0</v>
      </c>
      <c r="I150" s="43">
        <f t="shared" si="77"/>
        <v>0</v>
      </c>
      <c r="J150" s="43">
        <f t="shared" si="77"/>
        <v>0</v>
      </c>
      <c r="K150" s="43">
        <f t="shared" si="77"/>
        <v>0</v>
      </c>
      <c r="L150" s="43">
        <f t="shared" si="77"/>
        <v>0</v>
      </c>
      <c r="M150" s="43">
        <f t="shared" si="77"/>
        <v>0</v>
      </c>
      <c r="N150" s="43" t="e">
        <f>K150/I150</f>
        <v>#DIV/0!</v>
      </c>
    </row>
    <row r="151" spans="2:14" s="10" customFormat="1" x14ac:dyDescent="0.3">
      <c r="B151" s="27"/>
      <c r="C151" s="17">
        <v>661</v>
      </c>
      <c r="D151" s="17"/>
      <c r="E151" s="17" t="s">
        <v>291</v>
      </c>
      <c r="F151" s="43">
        <f>SUM(F152:F153)</f>
        <v>0</v>
      </c>
      <c r="G151" s="43">
        <f t="shared" ref="G151:L151" si="78">SUM(G152:G153)</f>
        <v>0</v>
      </c>
      <c r="H151" s="43">
        <f t="shared" si="78"/>
        <v>0</v>
      </c>
      <c r="I151" s="43">
        <f t="shared" si="78"/>
        <v>0</v>
      </c>
      <c r="J151" s="43">
        <f t="shared" si="78"/>
        <v>0</v>
      </c>
      <c r="K151" s="43">
        <f t="shared" si="78"/>
        <v>0</v>
      </c>
      <c r="L151" s="43">
        <f t="shared" si="78"/>
        <v>0</v>
      </c>
      <c r="M151" s="35">
        <f t="shared" ref="M151:M160" si="79">K151-L151</f>
        <v>0</v>
      </c>
      <c r="N151" s="43"/>
    </row>
    <row r="152" spans="2:14" x14ac:dyDescent="0.3">
      <c r="B152" s="27"/>
      <c r="C152" s="17"/>
      <c r="D152" s="3">
        <v>6611</v>
      </c>
      <c r="E152" s="3" t="s">
        <v>292</v>
      </c>
      <c r="F152" s="35"/>
      <c r="G152" s="35"/>
      <c r="H152" s="35"/>
      <c r="I152" s="35"/>
      <c r="J152" s="35"/>
      <c r="K152" s="35"/>
      <c r="L152" s="35"/>
      <c r="M152" s="35">
        <f t="shared" si="79"/>
        <v>0</v>
      </c>
      <c r="N152" s="35" t="e">
        <f t="shared" ref="N152:N153" si="80">K152/I152</f>
        <v>#DIV/0!</v>
      </c>
    </row>
    <row r="153" spans="2:14" x14ac:dyDescent="0.3">
      <c r="B153" s="27"/>
      <c r="C153" s="17"/>
      <c r="D153" s="3">
        <v>6618</v>
      </c>
      <c r="E153" s="3" t="s">
        <v>293</v>
      </c>
      <c r="F153" s="35"/>
      <c r="G153" s="35"/>
      <c r="H153" s="35"/>
      <c r="I153" s="35"/>
      <c r="J153" s="35"/>
      <c r="K153" s="35"/>
      <c r="L153" s="35"/>
      <c r="M153" s="35">
        <f t="shared" si="79"/>
        <v>0</v>
      </c>
      <c r="N153" s="35" t="e">
        <f t="shared" si="80"/>
        <v>#DIV/0!</v>
      </c>
    </row>
    <row r="154" spans="2:14" s="10" customFormat="1" x14ac:dyDescent="0.3">
      <c r="B154" s="27"/>
      <c r="C154" s="17">
        <v>662</v>
      </c>
      <c r="D154" s="17"/>
      <c r="E154" s="17" t="s">
        <v>294</v>
      </c>
      <c r="F154" s="43">
        <f>SUM(F155:F156)</f>
        <v>0</v>
      </c>
      <c r="G154" s="43">
        <f t="shared" ref="G154:L154" si="81">SUM(G155:G156)</f>
        <v>0</v>
      </c>
      <c r="H154" s="43">
        <f t="shared" si="81"/>
        <v>0</v>
      </c>
      <c r="I154" s="43">
        <f t="shared" si="81"/>
        <v>0</v>
      </c>
      <c r="J154" s="43">
        <f t="shared" si="81"/>
        <v>0</v>
      </c>
      <c r="K154" s="43">
        <f t="shared" si="81"/>
        <v>0</v>
      </c>
      <c r="L154" s="43">
        <f t="shared" si="81"/>
        <v>0</v>
      </c>
      <c r="M154" s="35">
        <f t="shared" si="79"/>
        <v>0</v>
      </c>
      <c r="N154" s="43"/>
    </row>
    <row r="155" spans="2:14" x14ac:dyDescent="0.3">
      <c r="B155" s="27"/>
      <c r="C155" s="17"/>
      <c r="D155" s="3">
        <v>6621</v>
      </c>
      <c r="E155" s="3" t="s">
        <v>294</v>
      </c>
      <c r="F155" s="35"/>
      <c r="G155" s="35"/>
      <c r="H155" s="35"/>
      <c r="I155" s="35"/>
      <c r="J155" s="35"/>
      <c r="K155" s="35"/>
      <c r="L155" s="35"/>
      <c r="M155" s="35">
        <f t="shared" si="79"/>
        <v>0</v>
      </c>
      <c r="N155" s="35" t="e">
        <f t="shared" ref="N155:N156" si="82">K155/I155</f>
        <v>#DIV/0!</v>
      </c>
    </row>
    <row r="156" spans="2:14" x14ac:dyDescent="0.3">
      <c r="B156" s="27"/>
      <c r="C156" s="17"/>
      <c r="D156" s="3">
        <v>6622</v>
      </c>
      <c r="E156" s="3" t="s">
        <v>295</v>
      </c>
      <c r="F156" s="35"/>
      <c r="G156" s="35"/>
      <c r="H156" s="35"/>
      <c r="I156" s="35"/>
      <c r="J156" s="35"/>
      <c r="K156" s="35"/>
      <c r="L156" s="35"/>
      <c r="M156" s="35">
        <f t="shared" si="79"/>
        <v>0</v>
      </c>
      <c r="N156" s="35" t="e">
        <f t="shared" si="82"/>
        <v>#DIV/0!</v>
      </c>
    </row>
    <row r="157" spans="2:14" s="10" customFormat="1" x14ac:dyDescent="0.3">
      <c r="B157" s="27"/>
      <c r="C157" s="17">
        <v>663</v>
      </c>
      <c r="D157" s="17"/>
      <c r="E157" s="17" t="s">
        <v>296</v>
      </c>
      <c r="F157" s="43">
        <f>SUM(F158:F159)</f>
        <v>0</v>
      </c>
      <c r="G157" s="43">
        <f t="shared" ref="G157:L157" si="83">SUM(G158:G159)</f>
        <v>0</v>
      </c>
      <c r="H157" s="43">
        <f t="shared" si="83"/>
        <v>0</v>
      </c>
      <c r="I157" s="43">
        <f t="shared" si="83"/>
        <v>0</v>
      </c>
      <c r="J157" s="43">
        <f t="shared" si="83"/>
        <v>0</v>
      </c>
      <c r="K157" s="43">
        <f t="shared" si="83"/>
        <v>0</v>
      </c>
      <c r="L157" s="43">
        <f t="shared" si="83"/>
        <v>0</v>
      </c>
      <c r="M157" s="35">
        <f t="shared" si="79"/>
        <v>0</v>
      </c>
      <c r="N157" s="43"/>
    </row>
    <row r="158" spans="2:14" x14ac:dyDescent="0.3">
      <c r="B158" s="27"/>
      <c r="C158" s="17"/>
      <c r="D158" s="3">
        <v>6631</v>
      </c>
      <c r="E158" s="3" t="s">
        <v>297</v>
      </c>
      <c r="F158" s="35"/>
      <c r="G158" s="35"/>
      <c r="H158" s="35"/>
      <c r="I158" s="35"/>
      <c r="J158" s="35"/>
      <c r="K158" s="35"/>
      <c r="L158" s="35"/>
      <c r="M158" s="35">
        <f t="shared" si="79"/>
        <v>0</v>
      </c>
      <c r="N158" s="35" t="e">
        <f t="shared" ref="N158:N159" si="84">K158/I158</f>
        <v>#DIV/0!</v>
      </c>
    </row>
    <row r="159" spans="2:14" x14ac:dyDescent="0.3">
      <c r="B159" s="27"/>
      <c r="C159" s="17"/>
      <c r="D159" s="3">
        <v>6632</v>
      </c>
      <c r="E159" s="3" t="s">
        <v>298</v>
      </c>
      <c r="F159" s="35"/>
      <c r="G159" s="35"/>
      <c r="H159" s="35"/>
      <c r="I159" s="35"/>
      <c r="J159" s="35"/>
      <c r="K159" s="35"/>
      <c r="L159" s="35"/>
      <c r="M159" s="35">
        <f t="shared" si="79"/>
        <v>0</v>
      </c>
      <c r="N159" s="35" t="e">
        <f t="shared" si="84"/>
        <v>#DIV/0!</v>
      </c>
    </row>
    <row r="160" spans="2:14" s="10" customFormat="1" x14ac:dyDescent="0.3">
      <c r="B160" s="27"/>
      <c r="C160" s="17">
        <v>666</v>
      </c>
      <c r="D160" s="17"/>
      <c r="E160" s="17" t="s">
        <v>299</v>
      </c>
      <c r="F160" s="43">
        <f>SUM(F161)</f>
        <v>0</v>
      </c>
      <c r="G160" s="43">
        <f t="shared" ref="G160:L160" si="85">SUM(G161)</f>
        <v>0</v>
      </c>
      <c r="H160" s="43">
        <f t="shared" si="85"/>
        <v>0</v>
      </c>
      <c r="I160" s="43">
        <f t="shared" si="85"/>
        <v>0</v>
      </c>
      <c r="J160" s="43">
        <f t="shared" si="85"/>
        <v>0</v>
      </c>
      <c r="K160" s="43">
        <f t="shared" si="85"/>
        <v>0</v>
      </c>
      <c r="L160" s="43">
        <f t="shared" si="85"/>
        <v>0</v>
      </c>
      <c r="M160" s="35">
        <f t="shared" si="79"/>
        <v>0</v>
      </c>
      <c r="N160" s="43"/>
    </row>
    <row r="161" spans="2:14" x14ac:dyDescent="0.3">
      <c r="B161" s="27"/>
      <c r="C161" s="17"/>
      <c r="D161" s="3">
        <v>6660</v>
      </c>
      <c r="E161" s="3" t="s">
        <v>300</v>
      </c>
      <c r="F161" s="35"/>
      <c r="G161" s="35"/>
      <c r="H161" s="35"/>
      <c r="I161" s="35"/>
      <c r="J161" s="35"/>
      <c r="K161" s="35"/>
      <c r="L161" s="35"/>
      <c r="M161" s="35">
        <f>K161-L161</f>
        <v>0</v>
      </c>
      <c r="N161" s="35" t="e">
        <f t="shared" ref="N161" si="86">K161/I161</f>
        <v>#DIV/0!</v>
      </c>
    </row>
    <row r="162" spans="2:14" s="10" customFormat="1" x14ac:dyDescent="0.3">
      <c r="B162" s="27"/>
      <c r="C162" s="17">
        <v>668</v>
      </c>
      <c r="D162" s="17"/>
      <c r="E162" s="17" t="s">
        <v>301</v>
      </c>
      <c r="F162" s="43">
        <f>SUM(F163:F164)</f>
        <v>0</v>
      </c>
      <c r="G162" s="43">
        <f t="shared" ref="G162:L162" si="87">SUM(G163:G164)</f>
        <v>0</v>
      </c>
      <c r="H162" s="43">
        <f t="shared" si="87"/>
        <v>0</v>
      </c>
      <c r="I162" s="43">
        <f t="shared" si="87"/>
        <v>0</v>
      </c>
      <c r="J162" s="43">
        <f t="shared" si="87"/>
        <v>0</v>
      </c>
      <c r="K162" s="43">
        <f t="shared" si="87"/>
        <v>0</v>
      </c>
      <c r="L162" s="43">
        <f t="shared" si="87"/>
        <v>0</v>
      </c>
      <c r="M162" s="35">
        <f t="shared" ref="M162:M164" si="88">K162-L162</f>
        <v>0</v>
      </c>
      <c r="N162" s="43"/>
    </row>
    <row r="163" spans="2:14" x14ac:dyDescent="0.3">
      <c r="B163" s="27"/>
      <c r="C163" s="17"/>
      <c r="D163" s="3">
        <v>6681</v>
      </c>
      <c r="E163" s="3" t="s">
        <v>302</v>
      </c>
      <c r="F163" s="35"/>
      <c r="G163" s="35"/>
      <c r="H163" s="35"/>
      <c r="I163" s="35"/>
      <c r="J163" s="35"/>
      <c r="K163" s="35"/>
      <c r="L163" s="35"/>
      <c r="M163" s="35">
        <f t="shared" si="88"/>
        <v>0</v>
      </c>
      <c r="N163" s="35" t="e">
        <f t="shared" ref="N163:N164" si="89">K163/I163</f>
        <v>#DIV/0!</v>
      </c>
    </row>
    <row r="164" spans="2:14" x14ac:dyDescent="0.3">
      <c r="B164" s="27"/>
      <c r="C164" s="17"/>
      <c r="D164" s="3">
        <v>6688</v>
      </c>
      <c r="E164" s="3" t="s">
        <v>301</v>
      </c>
      <c r="F164" s="35"/>
      <c r="G164" s="35"/>
      <c r="H164" s="35"/>
      <c r="I164" s="35"/>
      <c r="J164" s="35"/>
      <c r="K164" s="35"/>
      <c r="L164" s="35"/>
      <c r="M164" s="35">
        <f t="shared" si="88"/>
        <v>0</v>
      </c>
      <c r="N164" s="35" t="e">
        <f t="shared" si="89"/>
        <v>#DIV/0!</v>
      </c>
    </row>
    <row r="165" spans="2:14" s="10" customFormat="1" ht="30" customHeight="1" x14ac:dyDescent="0.3">
      <c r="B165" s="27">
        <v>67</v>
      </c>
      <c r="C165" s="17"/>
      <c r="D165" s="17"/>
      <c r="E165" s="17" t="s">
        <v>160</v>
      </c>
      <c r="F165" s="43">
        <f>SUM(F166,F172,F174,F176,F179,F183)</f>
        <v>0</v>
      </c>
      <c r="G165" s="43">
        <f t="shared" ref="G165:M165" si="90">SUM(G166,G172,G174,G176,G179,G183)</f>
        <v>0</v>
      </c>
      <c r="H165" s="43">
        <f t="shared" si="90"/>
        <v>0</v>
      </c>
      <c r="I165" s="43">
        <f t="shared" si="90"/>
        <v>0</v>
      </c>
      <c r="J165" s="43">
        <f t="shared" si="90"/>
        <v>0</v>
      </c>
      <c r="K165" s="43">
        <f t="shared" si="90"/>
        <v>0</v>
      </c>
      <c r="L165" s="43">
        <f t="shared" si="90"/>
        <v>0</v>
      </c>
      <c r="M165" s="43">
        <f t="shared" si="90"/>
        <v>0</v>
      </c>
      <c r="N165" s="43" t="e">
        <f>K165/I165</f>
        <v>#DIV/0!</v>
      </c>
    </row>
    <row r="166" spans="2:14" s="10" customFormat="1" x14ac:dyDescent="0.3">
      <c r="B166" s="27"/>
      <c r="C166" s="17">
        <v>671</v>
      </c>
      <c r="D166" s="17"/>
      <c r="E166" s="17" t="s">
        <v>303</v>
      </c>
      <c r="F166" s="43">
        <f>SUM(F167:F171)</f>
        <v>0</v>
      </c>
      <c r="G166" s="43">
        <f t="shared" ref="G166:L166" si="91">SUM(G167:G171)</f>
        <v>0</v>
      </c>
      <c r="H166" s="43">
        <f t="shared" si="91"/>
        <v>0</v>
      </c>
      <c r="I166" s="43">
        <f t="shared" si="91"/>
        <v>0</v>
      </c>
      <c r="J166" s="43">
        <f t="shared" si="91"/>
        <v>0</v>
      </c>
      <c r="K166" s="43">
        <f t="shared" si="91"/>
        <v>0</v>
      </c>
      <c r="L166" s="43">
        <f t="shared" si="91"/>
        <v>0</v>
      </c>
      <c r="M166" s="35">
        <f t="shared" ref="M166:M186" si="92">K166-L166</f>
        <v>0</v>
      </c>
      <c r="N166" s="43"/>
    </row>
    <row r="167" spans="2:14" x14ac:dyDescent="0.3">
      <c r="B167" s="27"/>
      <c r="C167" s="17"/>
      <c r="D167" s="3">
        <v>6711</v>
      </c>
      <c r="E167" s="3" t="s">
        <v>304</v>
      </c>
      <c r="F167" s="35"/>
      <c r="G167" s="35"/>
      <c r="H167" s="35"/>
      <c r="I167" s="35"/>
      <c r="J167" s="35"/>
      <c r="K167" s="35"/>
      <c r="L167" s="35"/>
      <c r="M167" s="35">
        <f t="shared" si="92"/>
        <v>0</v>
      </c>
      <c r="N167" s="35" t="e">
        <f t="shared" ref="N167:N171" si="93">K167/I167</f>
        <v>#DIV/0!</v>
      </c>
    </row>
    <row r="168" spans="2:14" x14ac:dyDescent="0.3">
      <c r="B168" s="27"/>
      <c r="C168" s="17"/>
      <c r="D168" s="3">
        <v>6712</v>
      </c>
      <c r="E168" s="3" t="s">
        <v>305</v>
      </c>
      <c r="F168" s="35"/>
      <c r="G168" s="35"/>
      <c r="H168" s="35"/>
      <c r="I168" s="35"/>
      <c r="J168" s="35"/>
      <c r="K168" s="35"/>
      <c r="L168" s="35"/>
      <c r="M168" s="35">
        <f t="shared" si="92"/>
        <v>0</v>
      </c>
      <c r="N168" s="35" t="e">
        <f t="shared" si="93"/>
        <v>#DIV/0!</v>
      </c>
    </row>
    <row r="169" spans="2:14" x14ac:dyDescent="0.3">
      <c r="B169" s="27"/>
      <c r="C169" s="17"/>
      <c r="D169" s="3">
        <v>6713</v>
      </c>
      <c r="E169" s="3" t="s">
        <v>306</v>
      </c>
      <c r="F169" s="35"/>
      <c r="G169" s="35"/>
      <c r="H169" s="35"/>
      <c r="I169" s="35"/>
      <c r="J169" s="35"/>
      <c r="K169" s="35"/>
      <c r="L169" s="35"/>
      <c r="M169" s="35">
        <f t="shared" si="92"/>
        <v>0</v>
      </c>
      <c r="N169" s="35" t="e">
        <f t="shared" si="93"/>
        <v>#DIV/0!</v>
      </c>
    </row>
    <row r="170" spans="2:14" x14ac:dyDescent="0.3">
      <c r="B170" s="27"/>
      <c r="C170" s="17"/>
      <c r="D170" s="3">
        <v>6714</v>
      </c>
      <c r="E170" s="3" t="s">
        <v>307</v>
      </c>
      <c r="F170" s="35"/>
      <c r="G170" s="35"/>
      <c r="H170" s="35"/>
      <c r="I170" s="35"/>
      <c r="J170" s="35"/>
      <c r="K170" s="35"/>
      <c r="L170" s="35"/>
      <c r="M170" s="35">
        <f t="shared" si="92"/>
        <v>0</v>
      </c>
      <c r="N170" s="35" t="e">
        <f t="shared" si="93"/>
        <v>#DIV/0!</v>
      </c>
    </row>
    <row r="171" spans="2:14" x14ac:dyDescent="0.3">
      <c r="B171" s="27"/>
      <c r="C171" s="17"/>
      <c r="D171" s="3">
        <v>6718</v>
      </c>
      <c r="E171" s="3" t="s">
        <v>95</v>
      </c>
      <c r="F171" s="35"/>
      <c r="G171" s="35"/>
      <c r="H171" s="35"/>
      <c r="I171" s="35"/>
      <c r="J171" s="35"/>
      <c r="K171" s="35"/>
      <c r="L171" s="35"/>
      <c r="M171" s="35">
        <f t="shared" si="92"/>
        <v>0</v>
      </c>
      <c r="N171" s="35" t="e">
        <f t="shared" si="93"/>
        <v>#DIV/0!</v>
      </c>
    </row>
    <row r="172" spans="2:14" s="10" customFormat="1" x14ac:dyDescent="0.3">
      <c r="B172" s="27"/>
      <c r="C172" s="17">
        <v>672</v>
      </c>
      <c r="D172" s="17"/>
      <c r="E172" s="17" t="s">
        <v>308</v>
      </c>
      <c r="F172" s="43">
        <f>SUM(F173)</f>
        <v>0</v>
      </c>
      <c r="G172" s="43">
        <f t="shared" ref="G172:L172" si="94">SUM(G173)</f>
        <v>0</v>
      </c>
      <c r="H172" s="43">
        <f t="shared" si="94"/>
        <v>0</v>
      </c>
      <c r="I172" s="43">
        <f t="shared" si="94"/>
        <v>0</v>
      </c>
      <c r="J172" s="43">
        <f t="shared" si="94"/>
        <v>0</v>
      </c>
      <c r="K172" s="43">
        <f t="shared" si="94"/>
        <v>0</v>
      </c>
      <c r="L172" s="43">
        <f t="shared" si="94"/>
        <v>0</v>
      </c>
      <c r="M172" s="35">
        <f t="shared" si="92"/>
        <v>0</v>
      </c>
      <c r="N172" s="43"/>
    </row>
    <row r="173" spans="2:14" x14ac:dyDescent="0.3">
      <c r="B173" s="27"/>
      <c r="C173" s="17"/>
      <c r="D173" s="3">
        <v>6720</v>
      </c>
      <c r="E173" s="3" t="s">
        <v>319</v>
      </c>
      <c r="F173" s="35"/>
      <c r="G173" s="35"/>
      <c r="H173" s="35"/>
      <c r="I173" s="35"/>
      <c r="J173" s="35"/>
      <c r="K173" s="35"/>
      <c r="L173" s="35"/>
      <c r="M173" s="35">
        <f>K173-L173</f>
        <v>0</v>
      </c>
      <c r="N173" s="35" t="e">
        <f t="shared" ref="N173" si="95">K173/I173</f>
        <v>#DIV/0!</v>
      </c>
    </row>
    <row r="174" spans="2:14" s="10" customFormat="1" x14ac:dyDescent="0.3">
      <c r="B174" s="27"/>
      <c r="C174" s="17">
        <v>673</v>
      </c>
      <c r="D174" s="17"/>
      <c r="E174" s="17" t="s">
        <v>309</v>
      </c>
      <c r="F174" s="43">
        <f>SUM(F175)</f>
        <v>0</v>
      </c>
      <c r="G174" s="43">
        <f t="shared" ref="G174:L174" si="96">SUM(G175)</f>
        <v>0</v>
      </c>
      <c r="H174" s="43">
        <f t="shared" si="96"/>
        <v>0</v>
      </c>
      <c r="I174" s="43">
        <f t="shared" si="96"/>
        <v>0</v>
      </c>
      <c r="J174" s="43">
        <f t="shared" si="96"/>
        <v>0</v>
      </c>
      <c r="K174" s="43">
        <f t="shared" si="96"/>
        <v>0</v>
      </c>
      <c r="L174" s="43">
        <f t="shared" si="96"/>
        <v>0</v>
      </c>
      <c r="M174" s="35">
        <f t="shared" si="92"/>
        <v>0</v>
      </c>
      <c r="N174" s="43"/>
    </row>
    <row r="175" spans="2:14" x14ac:dyDescent="0.3">
      <c r="B175" s="27"/>
      <c r="C175" s="17"/>
      <c r="D175" s="3">
        <v>6730</v>
      </c>
      <c r="E175" s="3" t="s">
        <v>309</v>
      </c>
      <c r="F175" s="35"/>
      <c r="G175" s="35"/>
      <c r="H175" s="35"/>
      <c r="I175" s="35"/>
      <c r="J175" s="35"/>
      <c r="K175" s="35"/>
      <c r="L175" s="35"/>
      <c r="M175" s="35">
        <f>K175-L175</f>
        <v>0</v>
      </c>
      <c r="N175" s="35" t="e">
        <f t="shared" ref="N175" si="97">K175/I175</f>
        <v>#DIV/0!</v>
      </c>
    </row>
    <row r="176" spans="2:14" s="10" customFormat="1" x14ac:dyDescent="0.3">
      <c r="B176" s="27"/>
      <c r="C176" s="17">
        <v>674</v>
      </c>
      <c r="D176" s="17"/>
      <c r="E176" s="17" t="s">
        <v>310</v>
      </c>
      <c r="F176" s="43">
        <f>SUM(F177:F178)</f>
        <v>0</v>
      </c>
      <c r="G176" s="43">
        <f t="shared" ref="G176:L176" si="98">SUM(G177:G178)</f>
        <v>0</v>
      </c>
      <c r="H176" s="43">
        <f t="shared" si="98"/>
        <v>0</v>
      </c>
      <c r="I176" s="43">
        <f t="shared" si="98"/>
        <v>0</v>
      </c>
      <c r="J176" s="43">
        <f t="shared" si="98"/>
        <v>0</v>
      </c>
      <c r="K176" s="43">
        <f t="shared" si="98"/>
        <v>0</v>
      </c>
      <c r="L176" s="43">
        <f t="shared" si="98"/>
        <v>0</v>
      </c>
      <c r="M176" s="35">
        <f t="shared" si="92"/>
        <v>0</v>
      </c>
      <c r="N176" s="43"/>
    </row>
    <row r="177" spans="2:14" x14ac:dyDescent="0.3">
      <c r="B177" s="27"/>
      <c r="C177" s="17"/>
      <c r="D177" s="3">
        <v>6741</v>
      </c>
      <c r="E177" s="3" t="s">
        <v>311</v>
      </c>
      <c r="F177" s="35"/>
      <c r="G177" s="35"/>
      <c r="H177" s="35"/>
      <c r="I177" s="35"/>
      <c r="J177" s="35"/>
      <c r="K177" s="35"/>
      <c r="L177" s="35"/>
      <c r="M177" s="35">
        <f t="shared" si="92"/>
        <v>0</v>
      </c>
      <c r="N177" s="35" t="e">
        <f t="shared" ref="N177:N178" si="99">K177/I177</f>
        <v>#DIV/0!</v>
      </c>
    </row>
    <row r="178" spans="2:14" x14ac:dyDescent="0.3">
      <c r="B178" s="27"/>
      <c r="C178" s="17"/>
      <c r="D178" s="3">
        <v>6742</v>
      </c>
      <c r="E178" s="3" t="s">
        <v>312</v>
      </c>
      <c r="F178" s="35"/>
      <c r="G178" s="35"/>
      <c r="H178" s="35"/>
      <c r="I178" s="35"/>
      <c r="J178" s="35"/>
      <c r="K178" s="35"/>
      <c r="L178" s="35"/>
      <c r="M178" s="35">
        <f t="shared" si="92"/>
        <v>0</v>
      </c>
      <c r="N178" s="35" t="e">
        <f t="shared" si="99"/>
        <v>#DIV/0!</v>
      </c>
    </row>
    <row r="179" spans="2:14" s="10" customFormat="1" x14ac:dyDescent="0.3">
      <c r="B179" s="27"/>
      <c r="C179" s="17">
        <v>675</v>
      </c>
      <c r="D179" s="17"/>
      <c r="E179" s="17" t="s">
        <v>313</v>
      </c>
      <c r="F179" s="43">
        <f>SUM(F180:F182)</f>
        <v>0</v>
      </c>
      <c r="G179" s="43">
        <f t="shared" ref="G179:L179" si="100">SUM(G180:G182)</f>
        <v>0</v>
      </c>
      <c r="H179" s="43">
        <f t="shared" si="100"/>
        <v>0</v>
      </c>
      <c r="I179" s="43">
        <f t="shared" si="100"/>
        <v>0</v>
      </c>
      <c r="J179" s="43">
        <f t="shared" si="100"/>
        <v>0</v>
      </c>
      <c r="K179" s="43">
        <f t="shared" si="100"/>
        <v>0</v>
      </c>
      <c r="L179" s="43">
        <f t="shared" si="100"/>
        <v>0</v>
      </c>
      <c r="M179" s="35">
        <f t="shared" si="92"/>
        <v>0</v>
      </c>
      <c r="N179" s="43"/>
    </row>
    <row r="180" spans="2:14" x14ac:dyDescent="0.3">
      <c r="B180" s="27"/>
      <c r="C180" s="17"/>
      <c r="D180" s="3">
        <v>6751</v>
      </c>
      <c r="E180" s="3" t="s">
        <v>313</v>
      </c>
      <c r="F180" s="35"/>
      <c r="G180" s="35"/>
      <c r="H180" s="35"/>
      <c r="I180" s="35"/>
      <c r="J180" s="35"/>
      <c r="K180" s="35"/>
      <c r="L180" s="35"/>
      <c r="M180" s="35">
        <f t="shared" si="92"/>
        <v>0</v>
      </c>
      <c r="N180" s="35" t="e">
        <f t="shared" ref="N180:N182" si="101">K180/I180</f>
        <v>#DIV/0!</v>
      </c>
    </row>
    <row r="181" spans="2:14" x14ac:dyDescent="0.3">
      <c r="B181" s="27"/>
      <c r="C181" s="17"/>
      <c r="D181" s="3">
        <v>6752</v>
      </c>
      <c r="E181" s="3" t="s">
        <v>314</v>
      </c>
      <c r="F181" s="35"/>
      <c r="G181" s="35"/>
      <c r="H181" s="35"/>
      <c r="I181" s="35"/>
      <c r="J181" s="35"/>
      <c r="K181" s="35"/>
      <c r="L181" s="35"/>
      <c r="M181" s="35">
        <f t="shared" si="92"/>
        <v>0</v>
      </c>
      <c r="N181" s="35" t="e">
        <f t="shared" si="101"/>
        <v>#DIV/0!</v>
      </c>
    </row>
    <row r="182" spans="2:14" x14ac:dyDescent="0.3">
      <c r="B182" s="27"/>
      <c r="C182" s="17"/>
      <c r="D182" s="3">
        <v>6753</v>
      </c>
      <c r="E182" s="3" t="s">
        <v>315</v>
      </c>
      <c r="F182" s="35"/>
      <c r="G182" s="35"/>
      <c r="H182" s="35"/>
      <c r="I182" s="35"/>
      <c r="J182" s="35"/>
      <c r="K182" s="35"/>
      <c r="L182" s="35"/>
      <c r="M182" s="35">
        <f t="shared" si="92"/>
        <v>0</v>
      </c>
      <c r="N182" s="35" t="e">
        <f t="shared" si="101"/>
        <v>#DIV/0!</v>
      </c>
    </row>
    <row r="183" spans="2:14" s="10" customFormat="1" x14ac:dyDescent="0.3">
      <c r="B183" s="27"/>
      <c r="C183" s="17">
        <v>678</v>
      </c>
      <c r="D183" s="17"/>
      <c r="E183" s="17" t="s">
        <v>316</v>
      </c>
      <c r="F183" s="43">
        <f>SUM(F184:F186)</f>
        <v>0</v>
      </c>
      <c r="G183" s="43">
        <f t="shared" ref="G183:L183" si="102">SUM(G184:G186)</f>
        <v>0</v>
      </c>
      <c r="H183" s="43">
        <f t="shared" si="102"/>
        <v>0</v>
      </c>
      <c r="I183" s="43">
        <f t="shared" si="102"/>
        <v>0</v>
      </c>
      <c r="J183" s="43">
        <f t="shared" si="102"/>
        <v>0</v>
      </c>
      <c r="K183" s="43">
        <f t="shared" si="102"/>
        <v>0</v>
      </c>
      <c r="L183" s="43">
        <f t="shared" si="102"/>
        <v>0</v>
      </c>
      <c r="M183" s="35">
        <f t="shared" si="92"/>
        <v>0</v>
      </c>
      <c r="N183" s="43"/>
    </row>
    <row r="184" spans="2:14" x14ac:dyDescent="0.3">
      <c r="B184" s="27"/>
      <c r="C184" s="17"/>
      <c r="D184" s="3">
        <v>6781</v>
      </c>
      <c r="E184" s="3" t="s">
        <v>317</v>
      </c>
      <c r="F184" s="35"/>
      <c r="G184" s="35"/>
      <c r="H184" s="35"/>
      <c r="I184" s="35"/>
      <c r="J184" s="35"/>
      <c r="K184" s="35"/>
      <c r="L184" s="35"/>
      <c r="M184" s="35">
        <f t="shared" si="92"/>
        <v>0</v>
      </c>
      <c r="N184" s="35" t="e">
        <f t="shared" ref="N184:N186" si="103">K184/I184</f>
        <v>#DIV/0!</v>
      </c>
    </row>
    <row r="185" spans="2:14" x14ac:dyDescent="0.3">
      <c r="B185" s="27"/>
      <c r="C185" s="17"/>
      <c r="D185" s="3">
        <v>6782</v>
      </c>
      <c r="E185" s="3" t="s">
        <v>318</v>
      </c>
      <c r="F185" s="35"/>
      <c r="G185" s="35"/>
      <c r="H185" s="35"/>
      <c r="I185" s="35"/>
      <c r="J185" s="35"/>
      <c r="K185" s="35"/>
      <c r="L185" s="35"/>
      <c r="M185" s="35">
        <f t="shared" si="92"/>
        <v>0</v>
      </c>
      <c r="N185" s="35" t="e">
        <f t="shared" si="103"/>
        <v>#DIV/0!</v>
      </c>
    </row>
    <row r="186" spans="2:14" x14ac:dyDescent="0.3">
      <c r="B186" s="27"/>
      <c r="C186" s="17"/>
      <c r="D186" s="3">
        <v>6788</v>
      </c>
      <c r="E186" s="3" t="s">
        <v>95</v>
      </c>
      <c r="F186" s="35"/>
      <c r="G186" s="35"/>
      <c r="H186" s="35"/>
      <c r="I186" s="35"/>
      <c r="J186" s="35"/>
      <c r="K186" s="35"/>
      <c r="L186" s="35"/>
      <c r="M186" s="35">
        <f t="shared" si="92"/>
        <v>0</v>
      </c>
      <c r="N186" s="35" t="e">
        <f t="shared" si="103"/>
        <v>#DIV/0!</v>
      </c>
    </row>
    <row r="187" spans="2:14" s="10" customFormat="1" ht="30" customHeight="1" x14ac:dyDescent="0.3">
      <c r="B187" s="29"/>
      <c r="C187" s="2"/>
      <c r="D187" s="2"/>
      <c r="E187" s="2" t="s">
        <v>162</v>
      </c>
      <c r="F187" s="38">
        <f>F10+F29+F60+F112+F121+F132+F150+F165</f>
        <v>0</v>
      </c>
      <c r="G187" s="38">
        <f t="shared" ref="G187:M187" si="104">G10+G29+G60+G112+G121+G132+G150+G165</f>
        <v>0</v>
      </c>
      <c r="H187" s="38">
        <f t="shared" si="104"/>
        <v>0</v>
      </c>
      <c r="I187" s="38">
        <f t="shared" si="104"/>
        <v>0</v>
      </c>
      <c r="J187" s="38">
        <f t="shared" si="104"/>
        <v>0</v>
      </c>
      <c r="K187" s="38">
        <f t="shared" si="104"/>
        <v>0</v>
      </c>
      <c r="L187" s="38">
        <f t="shared" si="104"/>
        <v>0</v>
      </c>
      <c r="M187" s="38">
        <f t="shared" si="104"/>
        <v>0</v>
      </c>
      <c r="N187" s="43" t="e">
        <f>K187/I187</f>
        <v>#DIV/0!</v>
      </c>
    </row>
    <row r="188" spans="2:14" s="10" customFormat="1" ht="30" customHeight="1" x14ac:dyDescent="0.3">
      <c r="B188" s="27">
        <v>12</v>
      </c>
      <c r="C188" s="17"/>
      <c r="D188" s="17"/>
      <c r="E188" s="17" t="s">
        <v>161</v>
      </c>
      <c r="F188" s="43"/>
      <c r="G188" s="43"/>
      <c r="H188" s="43"/>
      <c r="I188" s="43"/>
      <c r="J188" s="43"/>
      <c r="K188" s="43"/>
      <c r="L188" s="43"/>
      <c r="M188" s="43">
        <f>K188-L188</f>
        <v>0</v>
      </c>
      <c r="N188" s="43"/>
    </row>
    <row r="189" spans="2:14" s="10" customFormat="1" ht="30" customHeight="1" x14ac:dyDescent="0.3">
      <c r="B189" s="29"/>
      <c r="C189" s="2"/>
      <c r="D189" s="2"/>
      <c r="E189" s="2" t="s">
        <v>163</v>
      </c>
      <c r="F189" s="38">
        <f>SUM(F188)</f>
        <v>0</v>
      </c>
      <c r="G189" s="38">
        <f t="shared" ref="G189:M189" si="105">SUM(G188)</f>
        <v>0</v>
      </c>
      <c r="H189" s="38">
        <f t="shared" si="105"/>
        <v>0</v>
      </c>
      <c r="I189" s="38">
        <f t="shared" si="105"/>
        <v>0</v>
      </c>
      <c r="J189" s="38">
        <f t="shared" si="105"/>
        <v>0</v>
      </c>
      <c r="K189" s="38">
        <f t="shared" si="105"/>
        <v>0</v>
      </c>
      <c r="L189" s="38">
        <f t="shared" si="105"/>
        <v>0</v>
      </c>
      <c r="M189" s="38">
        <f t="shared" si="105"/>
        <v>0</v>
      </c>
      <c r="N189" s="43" t="e">
        <f>K189/I189</f>
        <v>#DIV/0!</v>
      </c>
    </row>
    <row r="190" spans="2:14" s="10" customFormat="1" ht="30" customHeight="1" x14ac:dyDescent="0.3">
      <c r="B190" s="29"/>
      <c r="C190" s="2"/>
      <c r="D190" s="2"/>
      <c r="E190" s="2" t="s">
        <v>98</v>
      </c>
      <c r="F190" s="38">
        <f>F187+F189</f>
        <v>0</v>
      </c>
      <c r="G190" s="38">
        <f t="shared" ref="G190:M190" si="106">G187+G189</f>
        <v>0</v>
      </c>
      <c r="H190" s="38">
        <f t="shared" si="106"/>
        <v>0</v>
      </c>
      <c r="I190" s="38">
        <f t="shared" si="106"/>
        <v>0</v>
      </c>
      <c r="J190" s="38">
        <f t="shared" si="106"/>
        <v>0</v>
      </c>
      <c r="K190" s="38">
        <f t="shared" si="106"/>
        <v>0</v>
      </c>
      <c r="L190" s="38">
        <f t="shared" si="106"/>
        <v>0</v>
      </c>
      <c r="M190" s="38">
        <f t="shared" si="106"/>
        <v>0</v>
      </c>
      <c r="N190" s="43" t="e">
        <f>K190/I190</f>
        <v>#DIV/0!</v>
      </c>
    </row>
    <row r="192" spans="2:14" ht="28.95" customHeight="1" x14ac:dyDescent="0.3">
      <c r="B192" s="71" t="s">
        <v>165</v>
      </c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</row>
    <row r="193" spans="2:14" s="11" customFormat="1" ht="28.8" x14ac:dyDescent="0.3">
      <c r="B193" s="26" t="s">
        <v>138</v>
      </c>
      <c r="C193" s="46"/>
      <c r="D193" s="49"/>
      <c r="E193" s="47" t="s">
        <v>150</v>
      </c>
      <c r="F193" s="41" t="s">
        <v>139</v>
      </c>
      <c r="G193" s="41" t="s">
        <v>140</v>
      </c>
      <c r="H193" s="41" t="s">
        <v>141</v>
      </c>
      <c r="I193" s="41" t="s">
        <v>142</v>
      </c>
      <c r="J193" s="41" t="s">
        <v>171</v>
      </c>
      <c r="K193" s="41" t="s">
        <v>172</v>
      </c>
      <c r="L193" s="41" t="s">
        <v>173</v>
      </c>
      <c r="M193" s="41" t="s">
        <v>174</v>
      </c>
      <c r="N193" s="41" t="s">
        <v>396</v>
      </c>
    </row>
    <row r="194" spans="2:14" s="10" customFormat="1" ht="30" customHeight="1" x14ac:dyDescent="0.3">
      <c r="B194" s="27">
        <v>16</v>
      </c>
      <c r="C194" s="17"/>
      <c r="D194" s="17"/>
      <c r="E194" s="17" t="s">
        <v>166</v>
      </c>
      <c r="F194" s="43">
        <f>SUM(F195,F198,F201,F203,F205)</f>
        <v>0</v>
      </c>
      <c r="G194" s="43">
        <f t="shared" ref="G194:M194" si="107">SUM(G195,G198,G201,G203,G205)</f>
        <v>0</v>
      </c>
      <c r="H194" s="43">
        <f t="shared" si="107"/>
        <v>0</v>
      </c>
      <c r="I194" s="43">
        <f t="shared" si="107"/>
        <v>0</v>
      </c>
      <c r="J194" s="43">
        <f t="shared" si="107"/>
        <v>0</v>
      </c>
      <c r="K194" s="43">
        <f t="shared" si="107"/>
        <v>0</v>
      </c>
      <c r="L194" s="43">
        <f t="shared" si="107"/>
        <v>0</v>
      </c>
      <c r="M194" s="43">
        <f t="shared" si="107"/>
        <v>0</v>
      </c>
      <c r="N194" s="43" t="e">
        <f>K194/I194</f>
        <v>#DIV/0!</v>
      </c>
    </row>
    <row r="195" spans="2:14" s="10" customFormat="1" x14ac:dyDescent="0.3">
      <c r="B195" s="27"/>
      <c r="C195" s="17">
        <v>161</v>
      </c>
      <c r="D195" s="17"/>
      <c r="E195" s="17" t="s">
        <v>320</v>
      </c>
      <c r="F195" s="43">
        <f>SUM(F196:F197)</f>
        <v>0</v>
      </c>
      <c r="G195" s="43">
        <f t="shared" ref="G195:L195" si="108">SUM(G196:G197)</f>
        <v>0</v>
      </c>
      <c r="H195" s="43">
        <f t="shared" si="108"/>
        <v>0</v>
      </c>
      <c r="I195" s="43">
        <f t="shared" si="108"/>
        <v>0</v>
      </c>
      <c r="J195" s="43">
        <f t="shared" si="108"/>
        <v>0</v>
      </c>
      <c r="K195" s="43">
        <f t="shared" si="108"/>
        <v>0</v>
      </c>
      <c r="L195" s="43">
        <f t="shared" si="108"/>
        <v>0</v>
      </c>
      <c r="M195" s="35">
        <f t="shared" ref="M195:M201" si="109">K195-L195</f>
        <v>0</v>
      </c>
      <c r="N195" s="43"/>
    </row>
    <row r="196" spans="2:14" x14ac:dyDescent="0.3">
      <c r="B196" s="27"/>
      <c r="C196" s="17"/>
      <c r="D196" s="3">
        <v>1611</v>
      </c>
      <c r="E196" s="3" t="s">
        <v>321</v>
      </c>
      <c r="F196" s="35"/>
      <c r="G196" s="35"/>
      <c r="H196" s="35"/>
      <c r="I196" s="35"/>
      <c r="J196" s="35"/>
      <c r="K196" s="35"/>
      <c r="L196" s="35"/>
      <c r="M196" s="35">
        <f t="shared" si="109"/>
        <v>0</v>
      </c>
      <c r="N196" s="35" t="e">
        <f t="shared" ref="N196:N197" si="110">K196/I196</f>
        <v>#DIV/0!</v>
      </c>
    </row>
    <row r="197" spans="2:14" x14ac:dyDescent="0.3">
      <c r="B197" s="27"/>
      <c r="C197" s="17"/>
      <c r="D197" s="3">
        <v>1612</v>
      </c>
      <c r="E197" s="3" t="s">
        <v>322</v>
      </c>
      <c r="F197" s="35"/>
      <c r="G197" s="35"/>
      <c r="H197" s="35"/>
      <c r="I197" s="35"/>
      <c r="J197" s="35"/>
      <c r="K197" s="35"/>
      <c r="L197" s="35"/>
      <c r="M197" s="35">
        <f t="shared" si="109"/>
        <v>0</v>
      </c>
      <c r="N197" s="35" t="e">
        <f t="shared" si="110"/>
        <v>#DIV/0!</v>
      </c>
    </row>
    <row r="198" spans="2:14" s="10" customFormat="1" x14ac:dyDescent="0.3">
      <c r="B198" s="27"/>
      <c r="C198" s="17">
        <v>162</v>
      </c>
      <c r="D198" s="17"/>
      <c r="E198" s="17" t="s">
        <v>323</v>
      </c>
      <c r="F198" s="43">
        <f>SUM(F199:F200)</f>
        <v>0</v>
      </c>
      <c r="G198" s="43">
        <f t="shared" ref="G198:L198" si="111">SUM(G199:G200)</f>
        <v>0</v>
      </c>
      <c r="H198" s="43">
        <f t="shared" si="111"/>
        <v>0</v>
      </c>
      <c r="I198" s="43">
        <f t="shared" si="111"/>
        <v>0</v>
      </c>
      <c r="J198" s="43">
        <f t="shared" si="111"/>
        <v>0</v>
      </c>
      <c r="K198" s="43">
        <f t="shared" si="111"/>
        <v>0</v>
      </c>
      <c r="L198" s="43">
        <f t="shared" si="111"/>
        <v>0</v>
      </c>
      <c r="M198" s="35">
        <f t="shared" si="109"/>
        <v>0</v>
      </c>
      <c r="N198" s="43"/>
    </row>
    <row r="199" spans="2:14" x14ac:dyDescent="0.3">
      <c r="B199" s="27"/>
      <c r="C199" s="17"/>
      <c r="D199" s="3">
        <v>1621</v>
      </c>
      <c r="E199" s="3" t="s">
        <v>321</v>
      </c>
      <c r="F199" s="35"/>
      <c r="G199" s="35"/>
      <c r="H199" s="35"/>
      <c r="I199" s="35"/>
      <c r="J199" s="35"/>
      <c r="K199" s="35"/>
      <c r="L199" s="35"/>
      <c r="M199" s="35">
        <f t="shared" si="109"/>
        <v>0</v>
      </c>
      <c r="N199" s="35" t="e">
        <f t="shared" ref="N199:N200" si="112">K199/I199</f>
        <v>#DIV/0!</v>
      </c>
    </row>
    <row r="200" spans="2:14" x14ac:dyDescent="0.3">
      <c r="B200" s="27"/>
      <c r="C200" s="17"/>
      <c r="D200" s="3">
        <v>1622</v>
      </c>
      <c r="E200" s="3" t="s">
        <v>322</v>
      </c>
      <c r="F200" s="35"/>
      <c r="G200" s="35"/>
      <c r="H200" s="35"/>
      <c r="I200" s="35"/>
      <c r="J200" s="35"/>
      <c r="K200" s="35"/>
      <c r="L200" s="35"/>
      <c r="M200" s="35">
        <f t="shared" si="109"/>
        <v>0</v>
      </c>
      <c r="N200" s="35" t="e">
        <f t="shared" si="112"/>
        <v>#DIV/0!</v>
      </c>
    </row>
    <row r="201" spans="2:14" s="10" customFormat="1" x14ac:dyDescent="0.3">
      <c r="B201" s="27"/>
      <c r="C201" s="17">
        <v>165</v>
      </c>
      <c r="D201" s="17"/>
      <c r="E201" s="17" t="s">
        <v>324</v>
      </c>
      <c r="F201" s="43">
        <f>SUM(F202)</f>
        <v>0</v>
      </c>
      <c r="G201" s="43">
        <f t="shared" ref="G201:L201" si="113">SUM(G202)</f>
        <v>0</v>
      </c>
      <c r="H201" s="43">
        <f t="shared" si="113"/>
        <v>0</v>
      </c>
      <c r="I201" s="43">
        <f t="shared" si="113"/>
        <v>0</v>
      </c>
      <c r="J201" s="43">
        <f t="shared" si="113"/>
        <v>0</v>
      </c>
      <c r="K201" s="43">
        <f t="shared" si="113"/>
        <v>0</v>
      </c>
      <c r="L201" s="43">
        <f t="shared" si="113"/>
        <v>0</v>
      </c>
      <c r="M201" s="35">
        <f t="shared" si="109"/>
        <v>0</v>
      </c>
      <c r="N201" s="43"/>
    </row>
    <row r="202" spans="2:14" x14ac:dyDescent="0.3">
      <c r="B202" s="27"/>
      <c r="C202" s="17"/>
      <c r="D202" s="3">
        <v>1650</v>
      </c>
      <c r="E202" s="3" t="s">
        <v>324</v>
      </c>
      <c r="F202" s="35"/>
      <c r="G202" s="35"/>
      <c r="H202" s="35"/>
      <c r="I202" s="35"/>
      <c r="J202" s="35"/>
      <c r="K202" s="35"/>
      <c r="L202" s="35"/>
      <c r="M202" s="35">
        <f>K202-L202</f>
        <v>0</v>
      </c>
      <c r="N202" s="35" t="e">
        <f t="shared" ref="N202" si="114">K202/I202</f>
        <v>#DIV/0!</v>
      </c>
    </row>
    <row r="203" spans="2:14" s="10" customFormat="1" x14ac:dyDescent="0.3">
      <c r="B203" s="27"/>
      <c r="C203" s="17">
        <v>167</v>
      </c>
      <c r="D203" s="17"/>
      <c r="E203" s="17" t="s">
        <v>325</v>
      </c>
      <c r="F203" s="43">
        <f>SUM(F204)</f>
        <v>0</v>
      </c>
      <c r="G203" s="43">
        <f t="shared" ref="G203:L203" si="115">SUM(G204)</f>
        <v>0</v>
      </c>
      <c r="H203" s="43">
        <f t="shared" si="115"/>
        <v>0</v>
      </c>
      <c r="I203" s="43">
        <f t="shared" si="115"/>
        <v>0</v>
      </c>
      <c r="J203" s="43">
        <f t="shared" si="115"/>
        <v>0</v>
      </c>
      <c r="K203" s="43">
        <f t="shared" si="115"/>
        <v>0</v>
      </c>
      <c r="L203" s="43">
        <f t="shared" si="115"/>
        <v>0</v>
      </c>
      <c r="M203" s="35">
        <f t="shared" ref="M203" si="116">K203-L203</f>
        <v>0</v>
      </c>
      <c r="N203" s="43"/>
    </row>
    <row r="204" spans="2:14" x14ac:dyDescent="0.3">
      <c r="B204" s="27"/>
      <c r="C204" s="17"/>
      <c r="D204" s="3">
        <v>1670</v>
      </c>
      <c r="E204" s="3" t="s">
        <v>325</v>
      </c>
      <c r="F204" s="35"/>
      <c r="G204" s="35"/>
      <c r="H204" s="35"/>
      <c r="I204" s="35"/>
      <c r="J204" s="35"/>
      <c r="K204" s="35"/>
      <c r="L204" s="35"/>
      <c r="M204" s="35">
        <f>K204-L204</f>
        <v>0</v>
      </c>
      <c r="N204" s="35" t="e">
        <f t="shared" ref="N204" si="117">K204/I204</f>
        <v>#DIV/0!</v>
      </c>
    </row>
    <row r="205" spans="2:14" s="10" customFormat="1" x14ac:dyDescent="0.3">
      <c r="B205" s="27"/>
      <c r="C205" s="17">
        <v>168</v>
      </c>
      <c r="D205" s="17"/>
      <c r="E205" s="17" t="s">
        <v>326</v>
      </c>
      <c r="F205" s="43">
        <f>SUM(F206:F207)</f>
        <v>0</v>
      </c>
      <c r="G205" s="43">
        <f t="shared" ref="G205:L205" si="118">SUM(G206:G207)</f>
        <v>0</v>
      </c>
      <c r="H205" s="43">
        <f t="shared" si="118"/>
        <v>0</v>
      </c>
      <c r="I205" s="43">
        <f t="shared" si="118"/>
        <v>0</v>
      </c>
      <c r="J205" s="43">
        <f t="shared" si="118"/>
        <v>0</v>
      </c>
      <c r="K205" s="43">
        <f t="shared" si="118"/>
        <v>0</v>
      </c>
      <c r="L205" s="43">
        <f t="shared" si="118"/>
        <v>0</v>
      </c>
      <c r="M205" s="35">
        <f t="shared" ref="M205:M207" si="119">K205-L205</f>
        <v>0</v>
      </c>
      <c r="N205" s="43"/>
    </row>
    <row r="206" spans="2:14" x14ac:dyDescent="0.3">
      <c r="B206" s="27"/>
      <c r="C206" s="17"/>
      <c r="D206" s="3">
        <v>1680</v>
      </c>
      <c r="E206" s="3" t="s">
        <v>326</v>
      </c>
      <c r="F206" s="35"/>
      <c r="G206" s="35"/>
      <c r="H206" s="35"/>
      <c r="I206" s="35"/>
      <c r="J206" s="35"/>
      <c r="K206" s="35"/>
      <c r="L206" s="35"/>
      <c r="M206" s="35">
        <f t="shared" si="119"/>
        <v>0</v>
      </c>
      <c r="N206" s="35" t="e">
        <f t="shared" ref="N206:N207" si="120">K206/I206</f>
        <v>#DIV/0!</v>
      </c>
    </row>
    <row r="207" spans="2:14" x14ac:dyDescent="0.3">
      <c r="B207" s="27"/>
      <c r="C207" s="17"/>
      <c r="D207" s="3">
        <v>1688</v>
      </c>
      <c r="E207" s="3" t="s">
        <v>327</v>
      </c>
      <c r="F207" s="35"/>
      <c r="G207" s="35"/>
      <c r="H207" s="35"/>
      <c r="I207" s="35"/>
      <c r="J207" s="35"/>
      <c r="K207" s="35"/>
      <c r="L207" s="35"/>
      <c r="M207" s="35">
        <f t="shared" si="119"/>
        <v>0</v>
      </c>
      <c r="N207" s="35" t="e">
        <f t="shared" si="120"/>
        <v>#DIV/0!</v>
      </c>
    </row>
    <row r="208" spans="2:14" s="10" customFormat="1" ht="30" customHeight="1" x14ac:dyDescent="0.3">
      <c r="B208" s="27">
        <v>20</v>
      </c>
      <c r="C208" s="17"/>
      <c r="D208" s="17"/>
      <c r="E208" s="17" t="s">
        <v>167</v>
      </c>
      <c r="F208" s="43">
        <f>SUM(F209,F218,F221)</f>
        <v>0</v>
      </c>
      <c r="G208" s="43">
        <f t="shared" ref="G208:M208" si="121">SUM(G209,G218,G221)</f>
        <v>0</v>
      </c>
      <c r="H208" s="43">
        <f t="shared" si="121"/>
        <v>0</v>
      </c>
      <c r="I208" s="43">
        <f t="shared" si="121"/>
        <v>0</v>
      </c>
      <c r="J208" s="43">
        <f t="shared" si="121"/>
        <v>0</v>
      </c>
      <c r="K208" s="43">
        <f t="shared" si="121"/>
        <v>0</v>
      </c>
      <c r="L208" s="43">
        <f t="shared" si="121"/>
        <v>0</v>
      </c>
      <c r="M208" s="43">
        <f t="shared" si="121"/>
        <v>0</v>
      </c>
      <c r="N208" s="43" t="e">
        <f>K208/I208</f>
        <v>#DIV/0!</v>
      </c>
    </row>
    <row r="209" spans="2:14" s="10" customFormat="1" x14ac:dyDescent="0.3">
      <c r="B209" s="27"/>
      <c r="C209" s="17">
        <v>201</v>
      </c>
      <c r="D209" s="17"/>
      <c r="E209" s="17" t="s">
        <v>125</v>
      </c>
      <c r="F209" s="43">
        <f>SUM(F210:F217)</f>
        <v>0</v>
      </c>
      <c r="G209" s="43">
        <f t="shared" ref="G209:L209" si="122">SUM(G210:G217)</f>
        <v>0</v>
      </c>
      <c r="H209" s="43">
        <f t="shared" si="122"/>
        <v>0</v>
      </c>
      <c r="I209" s="43">
        <f t="shared" si="122"/>
        <v>0</v>
      </c>
      <c r="J209" s="43">
        <f t="shared" si="122"/>
        <v>0</v>
      </c>
      <c r="K209" s="43">
        <f t="shared" si="122"/>
        <v>0</v>
      </c>
      <c r="L209" s="43">
        <f t="shared" si="122"/>
        <v>0</v>
      </c>
      <c r="M209" s="35">
        <f t="shared" ref="M209:M221" si="123">K209-L209</f>
        <v>0</v>
      </c>
      <c r="N209" s="43"/>
    </row>
    <row r="210" spans="2:14" x14ac:dyDescent="0.3">
      <c r="B210" s="27"/>
      <c r="C210" s="17"/>
      <c r="D210" s="3">
        <v>2011</v>
      </c>
      <c r="E210" s="3" t="s">
        <v>328</v>
      </c>
      <c r="F210" s="35"/>
      <c r="G210" s="35"/>
      <c r="H210" s="35"/>
      <c r="I210" s="35"/>
      <c r="J210" s="35"/>
      <c r="K210" s="35"/>
      <c r="L210" s="35"/>
      <c r="M210" s="35">
        <f t="shared" si="123"/>
        <v>0</v>
      </c>
      <c r="N210" s="35" t="e">
        <f t="shared" ref="N210:N217" si="124">K210/I210</f>
        <v>#DIV/0!</v>
      </c>
    </row>
    <row r="211" spans="2:14" x14ac:dyDescent="0.3">
      <c r="B211" s="27"/>
      <c r="C211" s="17"/>
      <c r="D211" s="3">
        <v>2012</v>
      </c>
      <c r="E211" s="3" t="s">
        <v>329</v>
      </c>
      <c r="F211" s="35"/>
      <c r="G211" s="35"/>
      <c r="H211" s="35"/>
      <c r="I211" s="35"/>
      <c r="J211" s="35"/>
      <c r="K211" s="35"/>
      <c r="L211" s="35"/>
      <c r="M211" s="35">
        <f t="shared" si="123"/>
        <v>0</v>
      </c>
      <c r="N211" s="35" t="e">
        <f t="shared" si="124"/>
        <v>#DIV/0!</v>
      </c>
    </row>
    <row r="212" spans="2:14" x14ac:dyDescent="0.3">
      <c r="B212" s="27"/>
      <c r="C212" s="17"/>
      <c r="D212" s="3">
        <v>2013</v>
      </c>
      <c r="E212" s="3" t="s">
        <v>330</v>
      </c>
      <c r="F212" s="35"/>
      <c r="G212" s="35"/>
      <c r="H212" s="35"/>
      <c r="I212" s="35"/>
      <c r="J212" s="35"/>
      <c r="K212" s="35"/>
      <c r="L212" s="35"/>
      <c r="M212" s="35">
        <f t="shared" si="123"/>
        <v>0</v>
      </c>
      <c r="N212" s="35" t="e">
        <f t="shared" si="124"/>
        <v>#DIV/0!</v>
      </c>
    </row>
    <row r="213" spans="2:14" x14ac:dyDescent="0.3">
      <c r="B213" s="27"/>
      <c r="C213" s="17"/>
      <c r="D213" s="3">
        <v>2014</v>
      </c>
      <c r="E213" s="3" t="s">
        <v>331</v>
      </c>
      <c r="F213" s="35"/>
      <c r="G213" s="35"/>
      <c r="H213" s="35"/>
      <c r="I213" s="35"/>
      <c r="J213" s="35"/>
      <c r="K213" s="35"/>
      <c r="L213" s="35"/>
      <c r="M213" s="35">
        <f t="shared" si="123"/>
        <v>0</v>
      </c>
      <c r="N213" s="35" t="e">
        <f t="shared" si="124"/>
        <v>#DIV/0!</v>
      </c>
    </row>
    <row r="214" spans="2:14" x14ac:dyDescent="0.3">
      <c r="B214" s="27"/>
      <c r="C214" s="17"/>
      <c r="D214" s="3">
        <v>2015</v>
      </c>
      <c r="E214" s="3" t="s">
        <v>332</v>
      </c>
      <c r="F214" s="35"/>
      <c r="G214" s="35"/>
      <c r="H214" s="35"/>
      <c r="I214" s="35"/>
      <c r="J214" s="35"/>
      <c r="K214" s="35"/>
      <c r="L214" s="35"/>
      <c r="M214" s="35">
        <f t="shared" si="123"/>
        <v>0</v>
      </c>
      <c r="N214" s="35" t="e">
        <f t="shared" si="124"/>
        <v>#DIV/0!</v>
      </c>
    </row>
    <row r="215" spans="2:14" x14ac:dyDescent="0.3">
      <c r="B215" s="27"/>
      <c r="C215" s="17"/>
      <c r="D215" s="3">
        <v>2016</v>
      </c>
      <c r="E215" s="3" t="s">
        <v>333</v>
      </c>
      <c r="F215" s="35"/>
      <c r="G215" s="35"/>
      <c r="H215" s="35"/>
      <c r="I215" s="35"/>
      <c r="J215" s="35"/>
      <c r="K215" s="35"/>
      <c r="L215" s="35"/>
      <c r="M215" s="35">
        <f t="shared" si="123"/>
        <v>0</v>
      </c>
      <c r="N215" s="35" t="e">
        <f t="shared" si="124"/>
        <v>#DIV/0!</v>
      </c>
    </row>
    <row r="216" spans="2:14" x14ac:dyDescent="0.3">
      <c r="B216" s="27"/>
      <c r="C216" s="17"/>
      <c r="D216" s="3">
        <v>2017</v>
      </c>
      <c r="E216" s="3" t="s">
        <v>334</v>
      </c>
      <c r="F216" s="35"/>
      <c r="G216" s="35"/>
      <c r="H216" s="35"/>
      <c r="I216" s="35"/>
      <c r="J216" s="35"/>
      <c r="K216" s="35"/>
      <c r="L216" s="35"/>
      <c r="M216" s="35">
        <f t="shared" si="123"/>
        <v>0</v>
      </c>
      <c r="N216" s="35" t="e">
        <f t="shared" si="124"/>
        <v>#DIV/0!</v>
      </c>
    </row>
    <row r="217" spans="2:14" x14ac:dyDescent="0.3">
      <c r="B217" s="27"/>
      <c r="C217" s="17"/>
      <c r="D217" s="3">
        <v>2018</v>
      </c>
      <c r="E217" s="3" t="s">
        <v>95</v>
      </c>
      <c r="F217" s="35"/>
      <c r="G217" s="35"/>
      <c r="H217" s="35"/>
      <c r="I217" s="35"/>
      <c r="J217" s="35"/>
      <c r="K217" s="35"/>
      <c r="L217" s="35"/>
      <c r="M217" s="35">
        <f t="shared" si="123"/>
        <v>0</v>
      </c>
      <c r="N217" s="35" t="e">
        <f t="shared" si="124"/>
        <v>#DIV/0!</v>
      </c>
    </row>
    <row r="218" spans="2:14" s="10" customFormat="1" x14ac:dyDescent="0.3">
      <c r="B218" s="27"/>
      <c r="C218" s="17">
        <v>205</v>
      </c>
      <c r="D218" s="17"/>
      <c r="E218" s="17" t="s">
        <v>335</v>
      </c>
      <c r="F218" s="43">
        <f>SUM(F219:F220)</f>
        <v>0</v>
      </c>
      <c r="G218" s="43">
        <f t="shared" ref="G218:L218" si="125">SUM(G219:G220)</f>
        <v>0</v>
      </c>
      <c r="H218" s="43">
        <f t="shared" si="125"/>
        <v>0</v>
      </c>
      <c r="I218" s="43">
        <f t="shared" si="125"/>
        <v>0</v>
      </c>
      <c r="J218" s="43">
        <f t="shared" si="125"/>
        <v>0</v>
      </c>
      <c r="K218" s="43">
        <f t="shared" si="125"/>
        <v>0</v>
      </c>
      <c r="L218" s="43">
        <f t="shared" si="125"/>
        <v>0</v>
      </c>
      <c r="M218" s="35">
        <f t="shared" si="123"/>
        <v>0</v>
      </c>
      <c r="N218" s="43"/>
    </row>
    <row r="219" spans="2:14" x14ac:dyDescent="0.3">
      <c r="B219" s="27"/>
      <c r="C219" s="17"/>
      <c r="D219" s="3">
        <v>2051</v>
      </c>
      <c r="E219" s="3" t="s">
        <v>336</v>
      </c>
      <c r="F219" s="35"/>
      <c r="G219" s="35"/>
      <c r="H219" s="35"/>
      <c r="I219" s="35"/>
      <c r="J219" s="35"/>
      <c r="K219" s="35"/>
      <c r="L219" s="35"/>
      <c r="M219" s="35">
        <f t="shared" si="123"/>
        <v>0</v>
      </c>
      <c r="N219" s="35" t="e">
        <f t="shared" ref="N219:N220" si="126">K219/I219</f>
        <v>#DIV/0!</v>
      </c>
    </row>
    <row r="220" spans="2:14" x14ac:dyDescent="0.3">
      <c r="B220" s="27"/>
      <c r="C220" s="17"/>
      <c r="D220" s="3">
        <v>2052</v>
      </c>
      <c r="E220" s="3" t="s">
        <v>337</v>
      </c>
      <c r="F220" s="35"/>
      <c r="G220" s="35"/>
      <c r="H220" s="35"/>
      <c r="I220" s="35"/>
      <c r="J220" s="35"/>
      <c r="K220" s="35"/>
      <c r="L220" s="35"/>
      <c r="M220" s="35">
        <f t="shared" si="123"/>
        <v>0</v>
      </c>
      <c r="N220" s="35" t="e">
        <f t="shared" si="126"/>
        <v>#DIV/0!</v>
      </c>
    </row>
    <row r="221" spans="2:14" s="10" customFormat="1" x14ac:dyDescent="0.3">
      <c r="B221" s="27"/>
      <c r="C221" s="17">
        <v>208</v>
      </c>
      <c r="D221" s="17"/>
      <c r="E221" s="17" t="s">
        <v>338</v>
      </c>
      <c r="F221" s="43">
        <f>SUM(F222)</f>
        <v>0</v>
      </c>
      <c r="G221" s="43">
        <f t="shared" ref="G221:L221" si="127">SUM(G222)</f>
        <v>0</v>
      </c>
      <c r="H221" s="43">
        <f t="shared" si="127"/>
        <v>0</v>
      </c>
      <c r="I221" s="43">
        <f t="shared" si="127"/>
        <v>0</v>
      </c>
      <c r="J221" s="43">
        <f t="shared" si="127"/>
        <v>0</v>
      </c>
      <c r="K221" s="43">
        <f t="shared" si="127"/>
        <v>0</v>
      </c>
      <c r="L221" s="43">
        <f t="shared" si="127"/>
        <v>0</v>
      </c>
      <c r="M221" s="35">
        <f t="shared" si="123"/>
        <v>0</v>
      </c>
      <c r="N221" s="43"/>
    </row>
    <row r="222" spans="2:14" x14ac:dyDescent="0.3">
      <c r="B222" s="27"/>
      <c r="C222" s="17"/>
      <c r="D222" s="3">
        <v>2080</v>
      </c>
      <c r="E222" s="3" t="s">
        <v>338</v>
      </c>
      <c r="F222" s="35"/>
      <c r="G222" s="35"/>
      <c r="H222" s="35"/>
      <c r="I222" s="35"/>
      <c r="J222" s="35"/>
      <c r="K222" s="35"/>
      <c r="L222" s="35"/>
      <c r="M222" s="35">
        <f>K222-L222</f>
        <v>0</v>
      </c>
      <c r="N222" s="35" t="e">
        <f t="shared" ref="N222" si="128">K222/I222</f>
        <v>#DIV/0!</v>
      </c>
    </row>
    <row r="223" spans="2:14" s="10" customFormat="1" ht="30" customHeight="1" x14ac:dyDescent="0.3">
      <c r="B223" s="27">
        <v>21</v>
      </c>
      <c r="C223" s="17"/>
      <c r="D223" s="17"/>
      <c r="E223" s="17" t="s">
        <v>168</v>
      </c>
      <c r="F223" s="43">
        <f>SUM(F224,F233,F240,F247,F254,F263,F272,F280)</f>
        <v>0</v>
      </c>
      <c r="G223" s="43">
        <f t="shared" ref="G223:M223" si="129">SUM(G224,G233,G240,G247,G254,G263,G272,G280)</f>
        <v>0</v>
      </c>
      <c r="H223" s="43">
        <f t="shared" si="129"/>
        <v>0</v>
      </c>
      <c r="I223" s="43">
        <f t="shared" si="129"/>
        <v>0</v>
      </c>
      <c r="J223" s="43">
        <f t="shared" si="129"/>
        <v>0</v>
      </c>
      <c r="K223" s="43">
        <f t="shared" si="129"/>
        <v>0</v>
      </c>
      <c r="L223" s="43">
        <f t="shared" si="129"/>
        <v>0</v>
      </c>
      <c r="M223" s="43">
        <f t="shared" si="129"/>
        <v>0</v>
      </c>
      <c r="N223" s="43" t="e">
        <f>K223/I223</f>
        <v>#DIV/0!</v>
      </c>
    </row>
    <row r="224" spans="2:14" s="10" customFormat="1" x14ac:dyDescent="0.3">
      <c r="B224" s="27"/>
      <c r="C224" s="17">
        <v>211</v>
      </c>
      <c r="D224" s="17"/>
      <c r="E224" s="17" t="s">
        <v>20</v>
      </c>
      <c r="F224" s="53">
        <f>SUM(F225:F232)</f>
        <v>0</v>
      </c>
      <c r="G224" s="53">
        <f t="shared" ref="G224:L224" si="130">SUM(G225:G232)</f>
        <v>0</v>
      </c>
      <c r="H224" s="53">
        <f t="shared" si="130"/>
        <v>0</v>
      </c>
      <c r="I224" s="53">
        <f t="shared" si="130"/>
        <v>0</v>
      </c>
      <c r="J224" s="53">
        <f t="shared" si="130"/>
        <v>0</v>
      </c>
      <c r="K224" s="53">
        <f t="shared" si="130"/>
        <v>0</v>
      </c>
      <c r="L224" s="53">
        <f t="shared" si="130"/>
        <v>0</v>
      </c>
      <c r="M224" s="35">
        <f t="shared" ref="M224:M287" si="131">K224-L224</f>
        <v>0</v>
      </c>
      <c r="N224" s="53"/>
    </row>
    <row r="225" spans="2:14" x14ac:dyDescent="0.3">
      <c r="B225" s="27"/>
      <c r="C225" s="17"/>
      <c r="D225" s="3">
        <v>2111</v>
      </c>
      <c r="E225" s="3" t="s">
        <v>339</v>
      </c>
      <c r="F225" s="35"/>
      <c r="G225" s="35"/>
      <c r="H225" s="35"/>
      <c r="I225" s="35"/>
      <c r="J225" s="35"/>
      <c r="K225" s="35"/>
      <c r="L225" s="35"/>
      <c r="M225" s="35">
        <f t="shared" si="131"/>
        <v>0</v>
      </c>
      <c r="N225" s="35" t="e">
        <f t="shared" ref="N225:N232" si="132">K225/I225</f>
        <v>#DIV/0!</v>
      </c>
    </row>
    <row r="226" spans="2:14" x14ac:dyDescent="0.3">
      <c r="B226" s="27"/>
      <c r="C226" s="17"/>
      <c r="D226" s="3">
        <v>2112</v>
      </c>
      <c r="E226" s="3" t="s">
        <v>340</v>
      </c>
      <c r="F226" s="35"/>
      <c r="G226" s="35"/>
      <c r="H226" s="35"/>
      <c r="I226" s="35"/>
      <c r="J226" s="35"/>
      <c r="K226" s="35"/>
      <c r="L226" s="35"/>
      <c r="M226" s="35">
        <f t="shared" si="131"/>
        <v>0</v>
      </c>
      <c r="N226" s="35" t="e">
        <f t="shared" si="132"/>
        <v>#DIV/0!</v>
      </c>
    </row>
    <row r="227" spans="2:14" x14ac:dyDescent="0.3">
      <c r="B227" s="27"/>
      <c r="C227" s="17"/>
      <c r="D227" s="3">
        <v>2113</v>
      </c>
      <c r="E227" s="3" t="s">
        <v>341</v>
      </c>
      <c r="F227" s="35"/>
      <c r="G227" s="35"/>
      <c r="H227" s="35"/>
      <c r="I227" s="35"/>
      <c r="J227" s="35"/>
      <c r="K227" s="35"/>
      <c r="L227" s="35"/>
      <c r="M227" s="35">
        <f t="shared" si="131"/>
        <v>0</v>
      </c>
      <c r="N227" s="35" t="e">
        <f t="shared" si="132"/>
        <v>#DIV/0!</v>
      </c>
    </row>
    <row r="228" spans="2:14" x14ac:dyDescent="0.3">
      <c r="B228" s="27"/>
      <c r="C228" s="17"/>
      <c r="D228" s="3">
        <v>2114</v>
      </c>
      <c r="E228" s="3" t="s">
        <v>342</v>
      </c>
      <c r="F228" s="35"/>
      <c r="G228" s="35"/>
      <c r="H228" s="35"/>
      <c r="I228" s="35"/>
      <c r="J228" s="35"/>
      <c r="K228" s="35"/>
      <c r="L228" s="35"/>
      <c r="M228" s="35">
        <f t="shared" si="131"/>
        <v>0</v>
      </c>
      <c r="N228" s="35" t="e">
        <f t="shared" si="132"/>
        <v>#DIV/0!</v>
      </c>
    </row>
    <row r="229" spans="2:14" x14ac:dyDescent="0.3">
      <c r="B229" s="27"/>
      <c r="C229" s="17"/>
      <c r="D229" s="3">
        <v>2115</v>
      </c>
      <c r="E229" s="3" t="s">
        <v>343</v>
      </c>
      <c r="F229" s="35"/>
      <c r="G229" s="35"/>
      <c r="H229" s="35"/>
      <c r="I229" s="35"/>
      <c r="J229" s="35"/>
      <c r="K229" s="35"/>
      <c r="L229" s="35"/>
      <c r="M229" s="35">
        <f t="shared" si="131"/>
        <v>0</v>
      </c>
      <c r="N229" s="35" t="e">
        <f t="shared" si="132"/>
        <v>#DIV/0!</v>
      </c>
    </row>
    <row r="230" spans="2:14" x14ac:dyDescent="0.3">
      <c r="B230" s="27"/>
      <c r="C230" s="17"/>
      <c r="D230" s="3">
        <v>2116</v>
      </c>
      <c r="E230" s="3" t="s">
        <v>344</v>
      </c>
      <c r="F230" s="35"/>
      <c r="G230" s="35"/>
      <c r="H230" s="35"/>
      <c r="I230" s="35"/>
      <c r="J230" s="35"/>
      <c r="K230" s="35"/>
      <c r="L230" s="35"/>
      <c r="M230" s="35">
        <f t="shared" si="131"/>
        <v>0</v>
      </c>
      <c r="N230" s="35" t="e">
        <f t="shared" si="132"/>
        <v>#DIV/0!</v>
      </c>
    </row>
    <row r="231" spans="2:14" x14ac:dyDescent="0.3">
      <c r="B231" s="27"/>
      <c r="C231" s="17"/>
      <c r="D231" s="3">
        <v>2117</v>
      </c>
      <c r="E231" s="3" t="s">
        <v>345</v>
      </c>
      <c r="F231" s="35"/>
      <c r="G231" s="35"/>
      <c r="H231" s="35"/>
      <c r="I231" s="35"/>
      <c r="J231" s="35"/>
      <c r="K231" s="35"/>
      <c r="L231" s="35"/>
      <c r="M231" s="35">
        <f t="shared" si="131"/>
        <v>0</v>
      </c>
      <c r="N231" s="35" t="e">
        <f t="shared" si="132"/>
        <v>#DIV/0!</v>
      </c>
    </row>
    <row r="232" spans="2:14" x14ac:dyDescent="0.3">
      <c r="B232" s="27"/>
      <c r="C232" s="17"/>
      <c r="D232" s="3">
        <v>2118</v>
      </c>
      <c r="E232" s="3" t="s">
        <v>95</v>
      </c>
      <c r="F232" s="35"/>
      <c r="G232" s="35"/>
      <c r="H232" s="35"/>
      <c r="I232" s="35"/>
      <c r="J232" s="35"/>
      <c r="K232" s="35"/>
      <c r="L232" s="35"/>
      <c r="M232" s="35">
        <f t="shared" si="131"/>
        <v>0</v>
      </c>
      <c r="N232" s="35" t="e">
        <f t="shared" si="132"/>
        <v>#DIV/0!</v>
      </c>
    </row>
    <row r="233" spans="2:14" s="10" customFormat="1" x14ac:dyDescent="0.3">
      <c r="B233" s="27"/>
      <c r="C233" s="17">
        <v>212</v>
      </c>
      <c r="D233" s="17"/>
      <c r="E233" s="17" t="s">
        <v>346</v>
      </c>
      <c r="F233" s="53">
        <f>SUM(F234:F239)</f>
        <v>0</v>
      </c>
      <c r="G233" s="53">
        <f t="shared" ref="G233:L233" si="133">SUM(G234:G239)</f>
        <v>0</v>
      </c>
      <c r="H233" s="53">
        <f t="shared" si="133"/>
        <v>0</v>
      </c>
      <c r="I233" s="53">
        <f t="shared" si="133"/>
        <v>0</v>
      </c>
      <c r="J233" s="53">
        <f t="shared" si="133"/>
        <v>0</v>
      </c>
      <c r="K233" s="53">
        <f t="shared" si="133"/>
        <v>0</v>
      </c>
      <c r="L233" s="53">
        <f t="shared" si="133"/>
        <v>0</v>
      </c>
      <c r="M233" s="35">
        <f t="shared" si="131"/>
        <v>0</v>
      </c>
      <c r="N233" s="53"/>
    </row>
    <row r="234" spans="2:14" x14ac:dyDescent="0.3">
      <c r="B234" s="27"/>
      <c r="C234" s="17"/>
      <c r="D234" s="3">
        <v>2121</v>
      </c>
      <c r="E234" s="3" t="s">
        <v>347</v>
      </c>
      <c r="F234" s="35"/>
      <c r="G234" s="35"/>
      <c r="H234" s="35"/>
      <c r="I234" s="35"/>
      <c r="J234" s="35"/>
      <c r="K234" s="35"/>
      <c r="L234" s="35"/>
      <c r="M234" s="35">
        <f t="shared" si="131"/>
        <v>0</v>
      </c>
      <c r="N234" s="35" t="e">
        <f t="shared" ref="N234:N239" si="134">K234/I234</f>
        <v>#DIV/0!</v>
      </c>
    </row>
    <row r="235" spans="2:14" x14ac:dyDescent="0.3">
      <c r="B235" s="27"/>
      <c r="C235" s="17"/>
      <c r="D235" s="3">
        <v>2122</v>
      </c>
      <c r="E235" s="3" t="s">
        <v>348</v>
      </c>
      <c r="F235" s="35"/>
      <c r="G235" s="35"/>
      <c r="H235" s="35"/>
      <c r="I235" s="35"/>
      <c r="J235" s="35"/>
      <c r="K235" s="35"/>
      <c r="L235" s="35"/>
      <c r="M235" s="35">
        <f t="shared" si="131"/>
        <v>0</v>
      </c>
      <c r="N235" s="35" t="e">
        <f t="shared" si="134"/>
        <v>#DIV/0!</v>
      </c>
    </row>
    <row r="236" spans="2:14" x14ac:dyDescent="0.3">
      <c r="B236" s="27"/>
      <c r="C236" s="17"/>
      <c r="D236" s="3">
        <v>2123</v>
      </c>
      <c r="E236" s="3" t="s">
        <v>349</v>
      </c>
      <c r="F236" s="35"/>
      <c r="G236" s="35"/>
      <c r="H236" s="35"/>
      <c r="I236" s="35"/>
      <c r="J236" s="35"/>
      <c r="K236" s="35"/>
      <c r="L236" s="35"/>
      <c r="M236" s="35">
        <f t="shared" si="131"/>
        <v>0</v>
      </c>
      <c r="N236" s="35" t="e">
        <f t="shared" si="134"/>
        <v>#DIV/0!</v>
      </c>
    </row>
    <row r="237" spans="2:14" x14ac:dyDescent="0.3">
      <c r="B237" s="27"/>
      <c r="C237" s="17"/>
      <c r="D237" s="3">
        <v>2124</v>
      </c>
      <c r="E237" s="3" t="s">
        <v>350</v>
      </c>
      <c r="F237" s="35"/>
      <c r="G237" s="35"/>
      <c r="H237" s="35"/>
      <c r="I237" s="35"/>
      <c r="J237" s="35"/>
      <c r="K237" s="35"/>
      <c r="L237" s="35"/>
      <c r="M237" s="35">
        <f t="shared" si="131"/>
        <v>0</v>
      </c>
      <c r="N237" s="35" t="e">
        <f t="shared" si="134"/>
        <v>#DIV/0!</v>
      </c>
    </row>
    <row r="238" spans="2:14" x14ac:dyDescent="0.3">
      <c r="B238" s="27"/>
      <c r="C238" s="17"/>
      <c r="D238" s="3">
        <v>2125</v>
      </c>
      <c r="E238" s="3" t="s">
        <v>351</v>
      </c>
      <c r="F238" s="35"/>
      <c r="G238" s="35"/>
      <c r="H238" s="35"/>
      <c r="I238" s="35"/>
      <c r="J238" s="35"/>
      <c r="K238" s="35"/>
      <c r="L238" s="35"/>
      <c r="M238" s="35">
        <f t="shared" si="131"/>
        <v>0</v>
      </c>
      <c r="N238" s="35" t="e">
        <f t="shared" si="134"/>
        <v>#DIV/0!</v>
      </c>
    </row>
    <row r="239" spans="2:14" x14ac:dyDescent="0.3">
      <c r="B239" s="27"/>
      <c r="C239" s="17"/>
      <c r="D239" s="3">
        <v>2128</v>
      </c>
      <c r="E239" s="3" t="s">
        <v>352</v>
      </c>
      <c r="F239" s="35"/>
      <c r="G239" s="35"/>
      <c r="H239" s="35"/>
      <c r="I239" s="35"/>
      <c r="J239" s="35"/>
      <c r="K239" s="35"/>
      <c r="L239" s="35"/>
      <c r="M239" s="35">
        <f t="shared" si="131"/>
        <v>0</v>
      </c>
      <c r="N239" s="35" t="e">
        <f t="shared" si="134"/>
        <v>#DIV/0!</v>
      </c>
    </row>
    <row r="240" spans="2:14" s="10" customFormat="1" x14ac:dyDescent="0.3">
      <c r="B240" s="27"/>
      <c r="C240" s="17">
        <v>213</v>
      </c>
      <c r="D240" s="17"/>
      <c r="E240" s="17" t="s">
        <v>353</v>
      </c>
      <c r="F240" s="53">
        <f>SUM(F241:F246)</f>
        <v>0</v>
      </c>
      <c r="G240" s="53">
        <f t="shared" ref="G240:L240" si="135">SUM(G241:G246)</f>
        <v>0</v>
      </c>
      <c r="H240" s="53">
        <f t="shared" si="135"/>
        <v>0</v>
      </c>
      <c r="I240" s="53">
        <f t="shared" si="135"/>
        <v>0</v>
      </c>
      <c r="J240" s="53">
        <f t="shared" si="135"/>
        <v>0</v>
      </c>
      <c r="K240" s="53">
        <f t="shared" si="135"/>
        <v>0</v>
      </c>
      <c r="L240" s="53">
        <f t="shared" si="135"/>
        <v>0</v>
      </c>
      <c r="M240" s="35">
        <f t="shared" si="131"/>
        <v>0</v>
      </c>
      <c r="N240" s="53"/>
    </row>
    <row r="241" spans="2:14" x14ac:dyDescent="0.3">
      <c r="B241" s="27"/>
      <c r="C241" s="17"/>
      <c r="D241" s="3">
        <v>2131</v>
      </c>
      <c r="E241" s="3" t="s">
        <v>354</v>
      </c>
      <c r="F241" s="35"/>
      <c r="G241" s="35"/>
      <c r="H241" s="35"/>
      <c r="I241" s="35"/>
      <c r="J241" s="35"/>
      <c r="K241" s="35"/>
      <c r="L241" s="35"/>
      <c r="M241" s="35">
        <f t="shared" si="131"/>
        <v>0</v>
      </c>
      <c r="N241" s="35" t="e">
        <f t="shared" ref="N241:N246" si="136">K241/I241</f>
        <v>#DIV/0!</v>
      </c>
    </row>
    <row r="242" spans="2:14" x14ac:dyDescent="0.3">
      <c r="B242" s="27"/>
      <c r="C242" s="17"/>
      <c r="D242" s="3">
        <v>2132</v>
      </c>
      <c r="E242" s="3" t="s">
        <v>355</v>
      </c>
      <c r="F242" s="35"/>
      <c r="G242" s="35"/>
      <c r="H242" s="35"/>
      <c r="I242" s="35"/>
      <c r="J242" s="35"/>
      <c r="K242" s="35"/>
      <c r="L242" s="35"/>
      <c r="M242" s="35">
        <f t="shared" si="131"/>
        <v>0</v>
      </c>
      <c r="N242" s="35" t="e">
        <f t="shared" si="136"/>
        <v>#DIV/0!</v>
      </c>
    </row>
    <row r="243" spans="2:14" x14ac:dyDescent="0.3">
      <c r="B243" s="27"/>
      <c r="C243" s="17"/>
      <c r="D243" s="3">
        <v>2133</v>
      </c>
      <c r="E243" s="3" t="s">
        <v>356</v>
      </c>
      <c r="F243" s="35"/>
      <c r="G243" s="35"/>
      <c r="H243" s="35"/>
      <c r="I243" s="35"/>
      <c r="J243" s="35"/>
      <c r="K243" s="35"/>
      <c r="L243" s="35"/>
      <c r="M243" s="35">
        <f t="shared" si="131"/>
        <v>0</v>
      </c>
      <c r="N243" s="35" t="e">
        <f t="shared" si="136"/>
        <v>#DIV/0!</v>
      </c>
    </row>
    <row r="244" spans="2:14" x14ac:dyDescent="0.3">
      <c r="B244" s="27"/>
      <c r="C244" s="17"/>
      <c r="D244" s="3">
        <v>2134</v>
      </c>
      <c r="E244" s="3" t="s">
        <v>357</v>
      </c>
      <c r="F244" s="35"/>
      <c r="G244" s="35"/>
      <c r="H244" s="35"/>
      <c r="I244" s="35"/>
      <c r="J244" s="35"/>
      <c r="K244" s="35"/>
      <c r="L244" s="35"/>
      <c r="M244" s="35">
        <f t="shared" si="131"/>
        <v>0</v>
      </c>
      <c r="N244" s="35" t="e">
        <f t="shared" si="136"/>
        <v>#DIV/0!</v>
      </c>
    </row>
    <row r="245" spans="2:14" x14ac:dyDescent="0.3">
      <c r="B245" s="27"/>
      <c r="C245" s="17"/>
      <c r="D245" s="3">
        <v>2137</v>
      </c>
      <c r="E245" s="3" t="s">
        <v>358</v>
      </c>
      <c r="F245" s="35"/>
      <c r="G245" s="35"/>
      <c r="H245" s="35"/>
      <c r="I245" s="35"/>
      <c r="J245" s="35"/>
      <c r="K245" s="35"/>
      <c r="L245" s="35"/>
      <c r="M245" s="35">
        <f t="shared" si="131"/>
        <v>0</v>
      </c>
      <c r="N245" s="35" t="e">
        <f t="shared" si="136"/>
        <v>#DIV/0!</v>
      </c>
    </row>
    <row r="246" spans="2:14" x14ac:dyDescent="0.3">
      <c r="B246" s="27"/>
      <c r="C246" s="17"/>
      <c r="D246" s="3">
        <v>2138</v>
      </c>
      <c r="E246" s="3" t="s">
        <v>359</v>
      </c>
      <c r="F246" s="35"/>
      <c r="G246" s="35"/>
      <c r="H246" s="35"/>
      <c r="I246" s="35"/>
      <c r="J246" s="35"/>
      <c r="K246" s="35"/>
      <c r="L246" s="35"/>
      <c r="M246" s="35">
        <f t="shared" si="131"/>
        <v>0</v>
      </c>
      <c r="N246" s="35" t="e">
        <f t="shared" si="136"/>
        <v>#DIV/0!</v>
      </c>
    </row>
    <row r="247" spans="2:14" s="10" customFormat="1" x14ac:dyDescent="0.3">
      <c r="B247" s="27"/>
      <c r="C247" s="17">
        <v>214</v>
      </c>
      <c r="D247" s="17"/>
      <c r="E247" s="17" t="s">
        <v>360</v>
      </c>
      <c r="F247" s="53">
        <f>SUM(F248:F253)</f>
        <v>0</v>
      </c>
      <c r="G247" s="53">
        <f t="shared" ref="G247:L247" si="137">SUM(G248:G253)</f>
        <v>0</v>
      </c>
      <c r="H247" s="53">
        <f t="shared" si="137"/>
        <v>0</v>
      </c>
      <c r="I247" s="53">
        <f t="shared" si="137"/>
        <v>0</v>
      </c>
      <c r="J247" s="53">
        <f t="shared" si="137"/>
        <v>0</v>
      </c>
      <c r="K247" s="53">
        <f t="shared" si="137"/>
        <v>0</v>
      </c>
      <c r="L247" s="53">
        <f t="shared" si="137"/>
        <v>0</v>
      </c>
      <c r="M247" s="35">
        <f t="shared" si="131"/>
        <v>0</v>
      </c>
      <c r="N247" s="53"/>
    </row>
    <row r="248" spans="2:14" x14ac:dyDescent="0.3">
      <c r="B248" s="27"/>
      <c r="C248" s="17"/>
      <c r="D248" s="3">
        <v>2141</v>
      </c>
      <c r="E248" s="3" t="s">
        <v>390</v>
      </c>
      <c r="F248" s="35"/>
      <c r="G248" s="35"/>
      <c r="H248" s="35"/>
      <c r="I248" s="35"/>
      <c r="J248" s="35"/>
      <c r="K248" s="35"/>
      <c r="L248" s="35"/>
      <c r="M248" s="35">
        <f t="shared" si="131"/>
        <v>0</v>
      </c>
      <c r="N248" s="35" t="e">
        <f t="shared" ref="N248:N253" si="138">K248/I248</f>
        <v>#DIV/0!</v>
      </c>
    </row>
    <row r="249" spans="2:14" x14ac:dyDescent="0.3">
      <c r="B249" s="27"/>
      <c r="C249" s="17"/>
      <c r="D249" s="3">
        <v>2142</v>
      </c>
      <c r="E249" s="3" t="s">
        <v>391</v>
      </c>
      <c r="F249" s="35"/>
      <c r="G249" s="35"/>
      <c r="H249" s="35"/>
      <c r="I249" s="35"/>
      <c r="J249" s="35"/>
      <c r="K249" s="35"/>
      <c r="L249" s="35"/>
      <c r="M249" s="35">
        <f t="shared" si="131"/>
        <v>0</v>
      </c>
      <c r="N249" s="35" t="e">
        <f t="shared" si="138"/>
        <v>#DIV/0!</v>
      </c>
    </row>
    <row r="250" spans="2:14" x14ac:dyDescent="0.3">
      <c r="B250" s="27"/>
      <c r="C250" s="17"/>
      <c r="D250" s="3">
        <v>2143</v>
      </c>
      <c r="E250" s="3" t="s">
        <v>392</v>
      </c>
      <c r="F250" s="35"/>
      <c r="G250" s="35"/>
      <c r="H250" s="35"/>
      <c r="I250" s="35"/>
      <c r="J250" s="35"/>
      <c r="K250" s="35"/>
      <c r="L250" s="35"/>
      <c r="M250" s="35">
        <f t="shared" si="131"/>
        <v>0</v>
      </c>
      <c r="N250" s="35" t="e">
        <f t="shared" si="138"/>
        <v>#DIV/0!</v>
      </c>
    </row>
    <row r="251" spans="2:14" x14ac:dyDescent="0.3">
      <c r="B251" s="27"/>
      <c r="C251" s="17"/>
      <c r="D251" s="3">
        <v>2144</v>
      </c>
      <c r="E251" s="3" t="s">
        <v>393</v>
      </c>
      <c r="F251" s="35"/>
      <c r="G251" s="35"/>
      <c r="H251" s="35"/>
      <c r="I251" s="35"/>
      <c r="J251" s="35"/>
      <c r="K251" s="35"/>
      <c r="L251" s="35"/>
      <c r="M251" s="35">
        <f t="shared" si="131"/>
        <v>0</v>
      </c>
      <c r="N251" s="35" t="e">
        <f t="shared" si="138"/>
        <v>#DIV/0!</v>
      </c>
    </row>
    <row r="252" spans="2:14" x14ac:dyDescent="0.3">
      <c r="B252" s="27"/>
      <c r="C252" s="17"/>
      <c r="D252" s="3">
        <v>2147</v>
      </c>
      <c r="E252" s="3" t="s">
        <v>394</v>
      </c>
      <c r="F252" s="35"/>
      <c r="G252" s="35"/>
      <c r="H252" s="35"/>
      <c r="I252" s="35"/>
      <c r="J252" s="35"/>
      <c r="K252" s="35"/>
      <c r="L252" s="35"/>
      <c r="M252" s="35">
        <f t="shared" si="131"/>
        <v>0</v>
      </c>
      <c r="N252" s="35" t="e">
        <f t="shared" si="138"/>
        <v>#DIV/0!</v>
      </c>
    </row>
    <row r="253" spans="2:14" x14ac:dyDescent="0.3">
      <c r="B253" s="27"/>
      <c r="C253" s="17"/>
      <c r="D253" s="3">
        <v>2148</v>
      </c>
      <c r="E253" s="3" t="s">
        <v>395</v>
      </c>
      <c r="F253" s="35"/>
      <c r="G253" s="35"/>
      <c r="H253" s="35"/>
      <c r="I253" s="35"/>
      <c r="J253" s="35"/>
      <c r="K253" s="35"/>
      <c r="L253" s="35"/>
      <c r="M253" s="35">
        <f t="shared" si="131"/>
        <v>0</v>
      </c>
      <c r="N253" s="35" t="e">
        <f t="shared" si="138"/>
        <v>#DIV/0!</v>
      </c>
    </row>
    <row r="254" spans="2:14" s="10" customFormat="1" x14ac:dyDescent="0.3">
      <c r="B254" s="27"/>
      <c r="C254" s="17">
        <v>215</v>
      </c>
      <c r="D254" s="17"/>
      <c r="E254" s="17" t="s">
        <v>361</v>
      </c>
      <c r="F254" s="53">
        <f>SUM(F255:F262)</f>
        <v>0</v>
      </c>
      <c r="G254" s="53">
        <f t="shared" ref="G254:L254" si="139">SUM(G255:G262)</f>
        <v>0</v>
      </c>
      <c r="H254" s="53">
        <f t="shared" si="139"/>
        <v>0</v>
      </c>
      <c r="I254" s="53">
        <f t="shared" si="139"/>
        <v>0</v>
      </c>
      <c r="J254" s="53">
        <f t="shared" si="139"/>
        <v>0</v>
      </c>
      <c r="K254" s="53">
        <f t="shared" si="139"/>
        <v>0</v>
      </c>
      <c r="L254" s="53">
        <f t="shared" si="139"/>
        <v>0</v>
      </c>
      <c r="M254" s="35">
        <f t="shared" si="131"/>
        <v>0</v>
      </c>
      <c r="N254" s="53"/>
    </row>
    <row r="255" spans="2:14" x14ac:dyDescent="0.3">
      <c r="B255" s="27"/>
      <c r="C255" s="17"/>
      <c r="D255" s="3">
        <v>2151</v>
      </c>
      <c r="E255" s="3" t="s">
        <v>362</v>
      </c>
      <c r="F255" s="35"/>
      <c r="G255" s="35"/>
      <c r="H255" s="35"/>
      <c r="I255" s="35"/>
      <c r="J255" s="35"/>
      <c r="K255" s="35"/>
      <c r="L255" s="35"/>
      <c r="M255" s="35">
        <f t="shared" si="131"/>
        <v>0</v>
      </c>
      <c r="N255" s="35" t="e">
        <f t="shared" ref="N255:N262" si="140">K255/I255</f>
        <v>#DIV/0!</v>
      </c>
    </row>
    <row r="256" spans="2:14" x14ac:dyDescent="0.3">
      <c r="B256" s="27"/>
      <c r="C256" s="17"/>
      <c r="D256" s="3">
        <v>2152</v>
      </c>
      <c r="E256" s="3" t="s">
        <v>363</v>
      </c>
      <c r="F256" s="35"/>
      <c r="G256" s="35"/>
      <c r="H256" s="35"/>
      <c r="I256" s="35"/>
      <c r="J256" s="35"/>
      <c r="K256" s="35"/>
      <c r="L256" s="35"/>
      <c r="M256" s="35">
        <f t="shared" si="131"/>
        <v>0</v>
      </c>
      <c r="N256" s="35" t="e">
        <f t="shared" si="140"/>
        <v>#DIV/0!</v>
      </c>
    </row>
    <row r="257" spans="2:14" x14ac:dyDescent="0.3">
      <c r="B257" s="27"/>
      <c r="C257" s="17"/>
      <c r="D257" s="3">
        <v>2153</v>
      </c>
      <c r="E257" s="3" t="s">
        <v>364</v>
      </c>
      <c r="F257" s="35"/>
      <c r="G257" s="35"/>
      <c r="H257" s="35"/>
      <c r="I257" s="35"/>
      <c r="J257" s="35"/>
      <c r="K257" s="35"/>
      <c r="L257" s="35"/>
      <c r="M257" s="35">
        <f t="shared" si="131"/>
        <v>0</v>
      </c>
      <c r="N257" s="35" t="e">
        <f t="shared" si="140"/>
        <v>#DIV/0!</v>
      </c>
    </row>
    <row r="258" spans="2:14" x14ac:dyDescent="0.3">
      <c r="B258" s="27"/>
      <c r="C258" s="17"/>
      <c r="D258" s="3">
        <v>2154</v>
      </c>
      <c r="E258" s="3" t="s">
        <v>365</v>
      </c>
      <c r="F258" s="35"/>
      <c r="G258" s="35"/>
      <c r="H258" s="35"/>
      <c r="I258" s="35"/>
      <c r="J258" s="35"/>
      <c r="K258" s="35"/>
      <c r="L258" s="35"/>
      <c r="M258" s="35">
        <f t="shared" si="131"/>
        <v>0</v>
      </c>
      <c r="N258" s="35" t="e">
        <f t="shared" si="140"/>
        <v>#DIV/0!</v>
      </c>
    </row>
    <row r="259" spans="2:14" x14ac:dyDescent="0.3">
      <c r="B259" s="27"/>
      <c r="C259" s="17"/>
      <c r="D259" s="3">
        <v>2155</v>
      </c>
      <c r="E259" s="3" t="s">
        <v>366</v>
      </c>
      <c r="F259" s="35"/>
      <c r="G259" s="35"/>
      <c r="H259" s="35"/>
      <c r="I259" s="35"/>
      <c r="J259" s="35"/>
      <c r="K259" s="35"/>
      <c r="L259" s="35"/>
      <c r="M259" s="35">
        <f t="shared" si="131"/>
        <v>0</v>
      </c>
      <c r="N259" s="35" t="e">
        <f t="shared" si="140"/>
        <v>#DIV/0!</v>
      </c>
    </row>
    <row r="260" spans="2:14" x14ac:dyDescent="0.3">
      <c r="B260" s="27"/>
      <c r="C260" s="17"/>
      <c r="D260" s="3">
        <v>2156</v>
      </c>
      <c r="E260" s="3" t="s">
        <v>367</v>
      </c>
      <c r="F260" s="35"/>
      <c r="G260" s="35"/>
      <c r="H260" s="35"/>
      <c r="I260" s="35"/>
      <c r="J260" s="35"/>
      <c r="K260" s="35"/>
      <c r="L260" s="35"/>
      <c r="M260" s="35">
        <f t="shared" si="131"/>
        <v>0</v>
      </c>
      <c r="N260" s="35" t="e">
        <f t="shared" si="140"/>
        <v>#DIV/0!</v>
      </c>
    </row>
    <row r="261" spans="2:14" x14ac:dyDescent="0.3">
      <c r="B261" s="27"/>
      <c r="C261" s="17"/>
      <c r="D261" s="3">
        <v>2157</v>
      </c>
      <c r="E261" s="3" t="s">
        <v>368</v>
      </c>
      <c r="F261" s="35"/>
      <c r="G261" s="35"/>
      <c r="H261" s="35"/>
      <c r="I261" s="35"/>
      <c r="J261" s="35"/>
      <c r="K261" s="35"/>
      <c r="L261" s="35"/>
      <c r="M261" s="35">
        <f t="shared" si="131"/>
        <v>0</v>
      </c>
      <c r="N261" s="35" t="e">
        <f t="shared" si="140"/>
        <v>#DIV/0!</v>
      </c>
    </row>
    <row r="262" spans="2:14" x14ac:dyDescent="0.3">
      <c r="B262" s="27"/>
      <c r="C262" s="17"/>
      <c r="D262" s="3">
        <v>2158</v>
      </c>
      <c r="E262" s="3" t="s">
        <v>369</v>
      </c>
      <c r="F262" s="35"/>
      <c r="G262" s="35"/>
      <c r="H262" s="35"/>
      <c r="I262" s="35"/>
      <c r="J262" s="35"/>
      <c r="K262" s="35"/>
      <c r="L262" s="35"/>
      <c r="M262" s="35">
        <f t="shared" si="131"/>
        <v>0</v>
      </c>
      <c r="N262" s="35" t="e">
        <f t="shared" si="140"/>
        <v>#DIV/0!</v>
      </c>
    </row>
    <row r="263" spans="2:14" s="10" customFormat="1" x14ac:dyDescent="0.3">
      <c r="B263" s="27"/>
      <c r="C263" s="17">
        <v>216</v>
      </c>
      <c r="D263" s="17"/>
      <c r="E263" s="17" t="s">
        <v>370</v>
      </c>
      <c r="F263" s="53">
        <f>SUM(F264:F271)</f>
        <v>0</v>
      </c>
      <c r="G263" s="53">
        <f t="shared" ref="G263:L263" si="141">SUM(G264:G271)</f>
        <v>0</v>
      </c>
      <c r="H263" s="53">
        <f t="shared" si="141"/>
        <v>0</v>
      </c>
      <c r="I263" s="53">
        <f t="shared" si="141"/>
        <v>0</v>
      </c>
      <c r="J263" s="53">
        <f t="shared" si="141"/>
        <v>0</v>
      </c>
      <c r="K263" s="53">
        <f t="shared" si="141"/>
        <v>0</v>
      </c>
      <c r="L263" s="53">
        <f t="shared" si="141"/>
        <v>0</v>
      </c>
      <c r="M263" s="35">
        <f t="shared" si="131"/>
        <v>0</v>
      </c>
      <c r="N263" s="53"/>
    </row>
    <row r="264" spans="2:14" x14ac:dyDescent="0.3">
      <c r="B264" s="27"/>
      <c r="C264" s="17"/>
      <c r="D264" s="3">
        <v>2161</v>
      </c>
      <c r="E264" s="3" t="s">
        <v>371</v>
      </c>
      <c r="F264" s="35"/>
      <c r="G264" s="35"/>
      <c r="H264" s="35"/>
      <c r="I264" s="35"/>
      <c r="J264" s="35"/>
      <c r="K264" s="35"/>
      <c r="L264" s="35"/>
      <c r="M264" s="35">
        <f t="shared" si="131"/>
        <v>0</v>
      </c>
      <c r="N264" s="35" t="e">
        <f t="shared" ref="N264:N271" si="142">K264/I264</f>
        <v>#DIV/0!</v>
      </c>
    </row>
    <row r="265" spans="2:14" x14ac:dyDescent="0.3">
      <c r="B265" s="27"/>
      <c r="C265" s="17"/>
      <c r="D265" s="3">
        <v>2162</v>
      </c>
      <c r="E265" s="3" t="s">
        <v>372</v>
      </c>
      <c r="F265" s="35"/>
      <c r="G265" s="35"/>
      <c r="H265" s="35"/>
      <c r="I265" s="35"/>
      <c r="J265" s="35"/>
      <c r="K265" s="35"/>
      <c r="L265" s="35"/>
      <c r="M265" s="35">
        <f t="shared" si="131"/>
        <v>0</v>
      </c>
      <c r="N265" s="35" t="e">
        <f t="shared" si="142"/>
        <v>#DIV/0!</v>
      </c>
    </row>
    <row r="266" spans="2:14" x14ac:dyDescent="0.3">
      <c r="B266" s="27"/>
      <c r="C266" s="17"/>
      <c r="D266" s="3">
        <v>2163</v>
      </c>
      <c r="E266" s="3" t="s">
        <v>373</v>
      </c>
      <c r="F266" s="35"/>
      <c r="G266" s="35"/>
      <c r="H266" s="35"/>
      <c r="I266" s="35"/>
      <c r="J266" s="35"/>
      <c r="K266" s="35"/>
      <c r="L266" s="35"/>
      <c r="M266" s="35">
        <f t="shared" si="131"/>
        <v>0</v>
      </c>
      <c r="N266" s="35" t="e">
        <f t="shared" si="142"/>
        <v>#DIV/0!</v>
      </c>
    </row>
    <row r="267" spans="2:14" x14ac:dyDescent="0.3">
      <c r="B267" s="27"/>
      <c r="C267" s="17"/>
      <c r="D267" s="3">
        <v>2164</v>
      </c>
      <c r="E267" s="3" t="s">
        <v>374</v>
      </c>
      <c r="F267" s="35"/>
      <c r="G267" s="35"/>
      <c r="H267" s="35"/>
      <c r="I267" s="35"/>
      <c r="J267" s="35"/>
      <c r="K267" s="35"/>
      <c r="L267" s="35"/>
      <c r="M267" s="35">
        <f t="shared" si="131"/>
        <v>0</v>
      </c>
      <c r="N267" s="35" t="e">
        <f t="shared" si="142"/>
        <v>#DIV/0!</v>
      </c>
    </row>
    <row r="268" spans="2:14" x14ac:dyDescent="0.3">
      <c r="B268" s="27"/>
      <c r="C268" s="17"/>
      <c r="D268" s="3">
        <v>2165</v>
      </c>
      <c r="E268" s="3" t="s">
        <v>375</v>
      </c>
      <c r="F268" s="35"/>
      <c r="G268" s="35"/>
      <c r="H268" s="35"/>
      <c r="I268" s="35"/>
      <c r="J268" s="35"/>
      <c r="K268" s="35"/>
      <c r="L268" s="35"/>
      <c r="M268" s="35">
        <f t="shared" si="131"/>
        <v>0</v>
      </c>
      <c r="N268" s="35" t="e">
        <f t="shared" si="142"/>
        <v>#DIV/0!</v>
      </c>
    </row>
    <row r="269" spans="2:14" x14ac:dyDescent="0.3">
      <c r="B269" s="27"/>
      <c r="C269" s="17"/>
      <c r="D269" s="3">
        <v>2166</v>
      </c>
      <c r="E269" s="3" t="s">
        <v>376</v>
      </c>
      <c r="F269" s="35"/>
      <c r="G269" s="35"/>
      <c r="H269" s="35"/>
      <c r="I269" s="35"/>
      <c r="J269" s="35"/>
      <c r="K269" s="35"/>
      <c r="L269" s="35"/>
      <c r="M269" s="35">
        <f t="shared" si="131"/>
        <v>0</v>
      </c>
      <c r="N269" s="35" t="e">
        <f t="shared" si="142"/>
        <v>#DIV/0!</v>
      </c>
    </row>
    <row r="270" spans="2:14" x14ac:dyDescent="0.3">
      <c r="B270" s="27"/>
      <c r="C270" s="17"/>
      <c r="D270" s="3">
        <v>2167</v>
      </c>
      <c r="E270" s="3" t="s">
        <v>377</v>
      </c>
      <c r="F270" s="35"/>
      <c r="G270" s="35"/>
      <c r="H270" s="35"/>
      <c r="I270" s="35"/>
      <c r="J270" s="35"/>
      <c r="K270" s="35"/>
      <c r="L270" s="35"/>
      <c r="M270" s="35">
        <f t="shared" si="131"/>
        <v>0</v>
      </c>
      <c r="N270" s="35" t="e">
        <f t="shared" si="142"/>
        <v>#DIV/0!</v>
      </c>
    </row>
    <row r="271" spans="2:14" x14ac:dyDescent="0.3">
      <c r="B271" s="27"/>
      <c r="C271" s="17"/>
      <c r="D271" s="3">
        <v>2168</v>
      </c>
      <c r="E271" s="3" t="s">
        <v>378</v>
      </c>
      <c r="F271" s="35"/>
      <c r="G271" s="35"/>
      <c r="H271" s="35"/>
      <c r="I271" s="35"/>
      <c r="J271" s="35"/>
      <c r="K271" s="35"/>
      <c r="L271" s="35"/>
      <c r="M271" s="35">
        <f t="shared" si="131"/>
        <v>0</v>
      </c>
      <c r="N271" s="35" t="e">
        <f t="shared" si="142"/>
        <v>#DIV/0!</v>
      </c>
    </row>
    <row r="272" spans="2:14" s="10" customFormat="1" x14ac:dyDescent="0.3">
      <c r="B272" s="27"/>
      <c r="C272" s="17">
        <v>217</v>
      </c>
      <c r="D272" s="17"/>
      <c r="E272" s="17" t="s">
        <v>379</v>
      </c>
      <c r="F272" s="53">
        <f>SUM(F273:F279)</f>
        <v>0</v>
      </c>
      <c r="G272" s="53">
        <f t="shared" ref="G272:L272" si="143">SUM(G273:G279)</f>
        <v>0</v>
      </c>
      <c r="H272" s="53">
        <f t="shared" si="143"/>
        <v>0</v>
      </c>
      <c r="I272" s="53">
        <f t="shared" si="143"/>
        <v>0</v>
      </c>
      <c r="J272" s="53">
        <f t="shared" si="143"/>
        <v>0</v>
      </c>
      <c r="K272" s="53">
        <f t="shared" si="143"/>
        <v>0</v>
      </c>
      <c r="L272" s="53">
        <f t="shared" si="143"/>
        <v>0</v>
      </c>
      <c r="M272" s="35">
        <f t="shared" si="131"/>
        <v>0</v>
      </c>
      <c r="N272" s="53"/>
    </row>
    <row r="273" spans="2:14" x14ac:dyDescent="0.3">
      <c r="B273" s="27"/>
      <c r="C273" s="17"/>
      <c r="D273" s="3">
        <v>2171</v>
      </c>
      <c r="E273" s="3" t="s">
        <v>380</v>
      </c>
      <c r="F273" s="35"/>
      <c r="G273" s="35"/>
      <c r="H273" s="35"/>
      <c r="I273" s="35"/>
      <c r="J273" s="35"/>
      <c r="K273" s="35"/>
      <c r="L273" s="35"/>
      <c r="M273" s="35">
        <f t="shared" si="131"/>
        <v>0</v>
      </c>
      <c r="N273" s="35" t="e">
        <f t="shared" ref="N273:N279" si="144">K273/I273</f>
        <v>#DIV/0!</v>
      </c>
    </row>
    <row r="274" spans="2:14" x14ac:dyDescent="0.3">
      <c r="B274" s="27"/>
      <c r="C274" s="17"/>
      <c r="D274" s="3">
        <v>2172</v>
      </c>
      <c r="E274" s="3" t="s">
        <v>381</v>
      </c>
      <c r="F274" s="35"/>
      <c r="G274" s="35"/>
      <c r="H274" s="35"/>
      <c r="I274" s="35"/>
      <c r="J274" s="35"/>
      <c r="K274" s="35"/>
      <c r="L274" s="35"/>
      <c r="M274" s="35">
        <f t="shared" si="131"/>
        <v>0</v>
      </c>
      <c r="N274" s="35" t="e">
        <f t="shared" si="144"/>
        <v>#DIV/0!</v>
      </c>
    </row>
    <row r="275" spans="2:14" x14ac:dyDescent="0.3">
      <c r="B275" s="27"/>
      <c r="C275" s="17"/>
      <c r="D275" s="3">
        <v>2173</v>
      </c>
      <c r="E275" s="3" t="s">
        <v>382</v>
      </c>
      <c r="F275" s="35"/>
      <c r="G275" s="35"/>
      <c r="H275" s="35"/>
      <c r="I275" s="35"/>
      <c r="J275" s="35"/>
      <c r="K275" s="35"/>
      <c r="L275" s="35"/>
      <c r="M275" s="35">
        <f t="shared" si="131"/>
        <v>0</v>
      </c>
      <c r="N275" s="35" t="e">
        <f t="shared" si="144"/>
        <v>#DIV/0!</v>
      </c>
    </row>
    <row r="276" spans="2:14" x14ac:dyDescent="0.3">
      <c r="B276" s="27"/>
      <c r="C276" s="17"/>
      <c r="D276" s="3">
        <v>2174</v>
      </c>
      <c r="E276" s="3" t="s">
        <v>383</v>
      </c>
      <c r="F276" s="35"/>
      <c r="G276" s="35"/>
      <c r="H276" s="35"/>
      <c r="I276" s="35"/>
      <c r="J276" s="35"/>
      <c r="K276" s="35"/>
      <c r="L276" s="35"/>
      <c r="M276" s="35">
        <f t="shared" si="131"/>
        <v>0</v>
      </c>
      <c r="N276" s="35" t="e">
        <f t="shared" si="144"/>
        <v>#DIV/0!</v>
      </c>
    </row>
    <row r="277" spans="2:14" x14ac:dyDescent="0.3">
      <c r="B277" s="27"/>
      <c r="C277" s="17"/>
      <c r="D277" s="3">
        <v>2175</v>
      </c>
      <c r="E277" s="3" t="s">
        <v>384</v>
      </c>
      <c r="F277" s="35"/>
      <c r="G277" s="35"/>
      <c r="H277" s="35"/>
      <c r="I277" s="35"/>
      <c r="J277" s="35"/>
      <c r="K277" s="35"/>
      <c r="L277" s="35"/>
      <c r="M277" s="35">
        <f t="shared" si="131"/>
        <v>0</v>
      </c>
      <c r="N277" s="35" t="e">
        <f t="shared" si="144"/>
        <v>#DIV/0!</v>
      </c>
    </row>
    <row r="278" spans="2:14" x14ac:dyDescent="0.3">
      <c r="B278" s="27"/>
      <c r="C278" s="17"/>
      <c r="D278" s="3">
        <v>2176</v>
      </c>
      <c r="E278" s="3" t="s">
        <v>385</v>
      </c>
      <c r="F278" s="35"/>
      <c r="G278" s="35"/>
      <c r="H278" s="35"/>
      <c r="I278" s="35"/>
      <c r="J278" s="35"/>
      <c r="K278" s="35"/>
      <c r="L278" s="35"/>
      <c r="M278" s="35">
        <f t="shared" si="131"/>
        <v>0</v>
      </c>
      <c r="N278" s="35" t="e">
        <f t="shared" si="144"/>
        <v>#DIV/0!</v>
      </c>
    </row>
    <row r="279" spans="2:14" x14ac:dyDescent="0.3">
      <c r="B279" s="27"/>
      <c r="C279" s="17"/>
      <c r="D279" s="3">
        <v>2178</v>
      </c>
      <c r="E279" s="3" t="s">
        <v>386</v>
      </c>
      <c r="F279" s="35"/>
      <c r="G279" s="35"/>
      <c r="H279" s="35"/>
      <c r="I279" s="35"/>
      <c r="J279" s="35"/>
      <c r="K279" s="35"/>
      <c r="L279" s="35"/>
      <c r="M279" s="35">
        <f t="shared" si="131"/>
        <v>0</v>
      </c>
      <c r="N279" s="35" t="e">
        <f t="shared" si="144"/>
        <v>#DIV/0!</v>
      </c>
    </row>
    <row r="280" spans="2:14" s="10" customFormat="1" x14ac:dyDescent="0.3">
      <c r="B280" s="27"/>
      <c r="C280" s="17">
        <v>218</v>
      </c>
      <c r="D280" s="17"/>
      <c r="E280" s="17" t="s">
        <v>131</v>
      </c>
      <c r="F280" s="53">
        <f>SUM(F281:F284)</f>
        <v>0</v>
      </c>
      <c r="G280" s="53">
        <f t="shared" ref="G280:L280" si="145">SUM(G281:G284)</f>
        <v>0</v>
      </c>
      <c r="H280" s="53">
        <f t="shared" si="145"/>
        <v>0</v>
      </c>
      <c r="I280" s="53">
        <f t="shared" si="145"/>
        <v>0</v>
      </c>
      <c r="J280" s="53">
        <f t="shared" si="145"/>
        <v>0</v>
      </c>
      <c r="K280" s="53">
        <f t="shared" si="145"/>
        <v>0</v>
      </c>
      <c r="L280" s="53">
        <f t="shared" si="145"/>
        <v>0</v>
      </c>
      <c r="M280" s="35">
        <f t="shared" si="131"/>
        <v>0</v>
      </c>
      <c r="N280" s="53"/>
    </row>
    <row r="281" spans="2:14" x14ac:dyDescent="0.3">
      <c r="B281" s="27"/>
      <c r="C281" s="17"/>
      <c r="D281" s="3">
        <v>2181</v>
      </c>
      <c r="E281" s="3" t="s">
        <v>387</v>
      </c>
      <c r="F281" s="35"/>
      <c r="G281" s="35"/>
      <c r="H281" s="35"/>
      <c r="I281" s="35"/>
      <c r="J281" s="35"/>
      <c r="K281" s="35"/>
      <c r="L281" s="35"/>
      <c r="M281" s="35">
        <f t="shared" si="131"/>
        <v>0</v>
      </c>
      <c r="N281" s="35" t="e">
        <f t="shared" ref="N281:N284" si="146">K281/I281</f>
        <v>#DIV/0!</v>
      </c>
    </row>
    <row r="282" spans="2:14" x14ac:dyDescent="0.3">
      <c r="B282" s="27"/>
      <c r="C282" s="17"/>
      <c r="D282" s="3">
        <v>2182</v>
      </c>
      <c r="E282" s="3" t="s">
        <v>388</v>
      </c>
      <c r="F282" s="35"/>
      <c r="G282" s="35"/>
      <c r="H282" s="35"/>
      <c r="I282" s="35"/>
      <c r="J282" s="35"/>
      <c r="K282" s="35"/>
      <c r="L282" s="35"/>
      <c r="M282" s="35">
        <f t="shared" si="131"/>
        <v>0</v>
      </c>
      <c r="N282" s="35" t="e">
        <f t="shared" si="146"/>
        <v>#DIV/0!</v>
      </c>
    </row>
    <row r="283" spans="2:14" x14ac:dyDescent="0.3">
      <c r="B283" s="27"/>
      <c r="C283" s="17"/>
      <c r="D283" s="3">
        <v>2183</v>
      </c>
      <c r="E283" s="3" t="s">
        <v>389</v>
      </c>
      <c r="F283" s="35"/>
      <c r="G283" s="35"/>
      <c r="H283" s="35"/>
      <c r="I283" s="35"/>
      <c r="J283" s="35"/>
      <c r="K283" s="35"/>
      <c r="L283" s="35"/>
      <c r="M283" s="35">
        <f t="shared" si="131"/>
        <v>0</v>
      </c>
      <c r="N283" s="35" t="e">
        <f t="shared" si="146"/>
        <v>#DIV/0!</v>
      </c>
    </row>
    <row r="284" spans="2:14" x14ac:dyDescent="0.3">
      <c r="B284" s="27"/>
      <c r="C284" s="17"/>
      <c r="D284" s="3">
        <v>2188</v>
      </c>
      <c r="E284" s="3" t="s">
        <v>131</v>
      </c>
      <c r="F284" s="35"/>
      <c r="G284" s="35"/>
      <c r="H284" s="35"/>
      <c r="I284" s="35"/>
      <c r="J284" s="35"/>
      <c r="K284" s="35"/>
      <c r="L284" s="35"/>
      <c r="M284" s="35">
        <f t="shared" si="131"/>
        <v>0</v>
      </c>
      <c r="N284" s="35" t="e">
        <f t="shared" si="146"/>
        <v>#DIV/0!</v>
      </c>
    </row>
    <row r="285" spans="2:14" s="10" customFormat="1" ht="30" customHeight="1" x14ac:dyDescent="0.3">
      <c r="B285" s="27"/>
      <c r="C285" s="17"/>
      <c r="D285" s="17"/>
      <c r="E285" s="2" t="s">
        <v>169</v>
      </c>
      <c r="F285" s="43">
        <f>F194+F208+F223</f>
        <v>0</v>
      </c>
      <c r="G285" s="43">
        <f t="shared" ref="G285:M285" si="147">G194+G208+G223</f>
        <v>0</v>
      </c>
      <c r="H285" s="43">
        <f t="shared" si="147"/>
        <v>0</v>
      </c>
      <c r="I285" s="43">
        <f t="shared" si="147"/>
        <v>0</v>
      </c>
      <c r="J285" s="43">
        <f t="shared" si="147"/>
        <v>0</v>
      </c>
      <c r="K285" s="43">
        <f t="shared" si="147"/>
        <v>0</v>
      </c>
      <c r="L285" s="43">
        <f t="shared" si="147"/>
        <v>0</v>
      </c>
      <c r="M285" s="43">
        <f t="shared" si="147"/>
        <v>0</v>
      </c>
      <c r="N285" s="43" t="e">
        <f>K285/I285</f>
        <v>#DIV/0!</v>
      </c>
    </row>
    <row r="286" spans="2:14" s="10" customFormat="1" ht="30" customHeight="1" x14ac:dyDescent="0.3">
      <c r="B286" s="27">
        <v>20</v>
      </c>
      <c r="C286" s="17"/>
      <c r="D286" s="17"/>
      <c r="E286" s="17" t="s">
        <v>167</v>
      </c>
      <c r="F286" s="43"/>
      <c r="G286" s="43"/>
      <c r="H286" s="43"/>
      <c r="I286" s="43"/>
      <c r="J286" s="43"/>
      <c r="K286" s="43"/>
      <c r="L286" s="43"/>
      <c r="M286" s="43">
        <f t="shared" si="131"/>
        <v>0</v>
      </c>
      <c r="N286" s="43"/>
    </row>
    <row r="287" spans="2:14" s="10" customFormat="1" ht="30" customHeight="1" x14ac:dyDescent="0.3">
      <c r="B287" s="27">
        <v>21</v>
      </c>
      <c r="C287" s="17"/>
      <c r="D287" s="17"/>
      <c r="E287" s="17" t="s">
        <v>168</v>
      </c>
      <c r="F287" s="43"/>
      <c r="G287" s="43"/>
      <c r="H287" s="43"/>
      <c r="I287" s="43"/>
      <c r="J287" s="43"/>
      <c r="K287" s="43"/>
      <c r="L287" s="43"/>
      <c r="M287" s="43">
        <f t="shared" si="131"/>
        <v>0</v>
      </c>
      <c r="N287" s="43"/>
    </row>
    <row r="288" spans="2:14" s="10" customFormat="1" ht="30" customHeight="1" x14ac:dyDescent="0.3">
      <c r="B288" s="27"/>
      <c r="C288" s="17"/>
      <c r="D288" s="17"/>
      <c r="E288" s="2" t="s">
        <v>170</v>
      </c>
      <c r="F288" s="43">
        <f>SUM(F286:F287)</f>
        <v>0</v>
      </c>
      <c r="G288" s="43">
        <f t="shared" ref="G288:L288" si="148">SUM(G286:G287)</f>
        <v>0</v>
      </c>
      <c r="H288" s="43">
        <f t="shared" si="148"/>
        <v>0</v>
      </c>
      <c r="I288" s="43">
        <f t="shared" si="148"/>
        <v>0</v>
      </c>
      <c r="J288" s="43">
        <f t="shared" si="148"/>
        <v>0</v>
      </c>
      <c r="K288" s="43">
        <f t="shared" si="148"/>
        <v>0</v>
      </c>
      <c r="L288" s="43">
        <f t="shared" si="148"/>
        <v>0</v>
      </c>
      <c r="M288" s="43">
        <f>SUM(M286:M287)</f>
        <v>0</v>
      </c>
      <c r="N288" s="43" t="e">
        <f>K288/I288</f>
        <v>#DIV/0!</v>
      </c>
    </row>
    <row r="289" spans="2:14" s="10" customFormat="1" ht="30" customHeight="1" x14ac:dyDescent="0.3">
      <c r="B289" s="27"/>
      <c r="C289" s="17"/>
      <c r="D289" s="17"/>
      <c r="E289" s="2" t="s">
        <v>103</v>
      </c>
      <c r="F289" s="43">
        <f>F285+F288</f>
        <v>0</v>
      </c>
      <c r="G289" s="43">
        <f t="shared" ref="G289:M289" si="149">G285+G288</f>
        <v>0</v>
      </c>
      <c r="H289" s="43">
        <f t="shared" si="149"/>
        <v>0</v>
      </c>
      <c r="I289" s="43">
        <f t="shared" si="149"/>
        <v>0</v>
      </c>
      <c r="J289" s="43">
        <f t="shared" si="149"/>
        <v>0</v>
      </c>
      <c r="K289" s="43">
        <f t="shared" si="149"/>
        <v>0</v>
      </c>
      <c r="L289" s="43">
        <f t="shared" si="149"/>
        <v>0</v>
      </c>
      <c r="M289" s="43">
        <f t="shared" si="149"/>
        <v>0</v>
      </c>
      <c r="N289" s="43" t="e">
        <f>K289/I289</f>
        <v>#DIV/0!</v>
      </c>
    </row>
  </sheetData>
  <mergeCells count="3">
    <mergeCell ref="B2:N2"/>
    <mergeCell ref="B8:N8"/>
    <mergeCell ref="B192:N19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83C8-0F51-4FE1-AFC5-0497C3A66A33}">
  <sheetPr>
    <tabColor theme="5" tint="0.39997558519241921"/>
  </sheetPr>
  <dimension ref="B2:Q290"/>
  <sheetViews>
    <sheetView zoomScale="70" zoomScaleNormal="70" workbookViewId="0">
      <selection activeCell="F12" sqref="F12"/>
    </sheetView>
  </sheetViews>
  <sheetFormatPr baseColWidth="10" defaultColWidth="11.5546875" defaultRowHeight="14.4" x14ac:dyDescent="0.3"/>
  <cols>
    <col min="1" max="1" width="11.5546875" style="8"/>
    <col min="2" max="2" width="8.5546875" style="9" bestFit="1" customWidth="1"/>
    <col min="3" max="3" width="4.44140625" style="10" bestFit="1" customWidth="1"/>
    <col min="4" max="4" width="5.5546875" style="8" bestFit="1" customWidth="1"/>
    <col min="5" max="5" width="61.5546875" style="8" bestFit="1" customWidth="1"/>
    <col min="6" max="6" width="16.33203125" style="51" bestFit="1" customWidth="1"/>
    <col min="7" max="7" width="20.77734375" style="51" bestFit="1" customWidth="1"/>
    <col min="8" max="8" width="15.6640625" style="51" bestFit="1" customWidth="1"/>
    <col min="9" max="9" width="17.21875" style="51" customWidth="1"/>
    <col min="10" max="10" width="16.33203125" style="51" bestFit="1" customWidth="1"/>
    <col min="11" max="11" width="20.77734375" style="51" bestFit="1" customWidth="1"/>
    <col min="12" max="12" width="15.6640625" style="51" bestFit="1" customWidth="1"/>
    <col min="13" max="13" width="17.21875" style="51" customWidth="1"/>
    <col min="14" max="14" width="16.33203125" style="51" bestFit="1" customWidth="1"/>
    <col min="15" max="15" width="20.77734375" style="51" bestFit="1" customWidth="1"/>
    <col min="16" max="16" width="15.6640625" style="51" bestFit="1" customWidth="1"/>
    <col min="17" max="17" width="17.21875" style="51" customWidth="1"/>
    <col min="18" max="16384" width="11.5546875" style="8"/>
  </cols>
  <sheetData>
    <row r="2" spans="2:17" ht="18" x14ac:dyDescent="0.3">
      <c r="B2" s="70" t="s">
        <v>420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</row>
    <row r="3" spans="2:17" x14ac:dyDescent="0.3">
      <c r="F3" s="31"/>
      <c r="G3" s="39"/>
      <c r="H3" s="39"/>
      <c r="I3" s="39"/>
      <c r="J3" s="31"/>
      <c r="K3" s="39"/>
      <c r="L3" s="39"/>
      <c r="M3" s="39"/>
      <c r="N3" s="31"/>
      <c r="O3" s="39"/>
      <c r="P3" s="39"/>
      <c r="Q3" s="39"/>
    </row>
    <row r="4" spans="2:17" x14ac:dyDescent="0.3">
      <c r="E4" s="10" t="s">
        <v>147</v>
      </c>
      <c r="F4" s="31"/>
      <c r="G4" s="31"/>
      <c r="H4" s="40"/>
      <c r="I4" s="31"/>
      <c r="J4" s="31"/>
      <c r="K4" s="31"/>
      <c r="L4" s="40"/>
      <c r="M4" s="31"/>
      <c r="N4" s="31"/>
      <c r="O4" s="31"/>
      <c r="P4" s="40"/>
      <c r="Q4" s="31"/>
    </row>
    <row r="5" spans="2:17" x14ac:dyDescent="0.3">
      <c r="E5" s="10"/>
      <c r="F5" s="32"/>
      <c r="G5" s="32"/>
      <c r="H5" s="39"/>
      <c r="I5" s="32"/>
      <c r="J5" s="32"/>
      <c r="K5" s="32"/>
      <c r="L5" s="39"/>
      <c r="M5" s="32"/>
      <c r="N5" s="32"/>
      <c r="O5" s="32"/>
      <c r="P5" s="39"/>
      <c r="Q5" s="32"/>
    </row>
    <row r="6" spans="2:17" x14ac:dyDescent="0.3">
      <c r="F6" s="32"/>
      <c r="G6" s="32"/>
      <c r="H6" s="39"/>
      <c r="I6" s="32"/>
      <c r="J6" s="32"/>
      <c r="K6" s="32"/>
      <c r="L6" s="39"/>
      <c r="M6" s="32"/>
      <c r="N6" s="32"/>
      <c r="O6" s="32"/>
      <c r="P6" s="39"/>
      <c r="Q6" s="32"/>
    </row>
    <row r="7" spans="2:17" ht="28.8" customHeight="1" x14ac:dyDescent="0.3">
      <c r="B7" s="71" t="s">
        <v>164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</row>
    <row r="8" spans="2:17" s="58" customFormat="1" ht="28.95" customHeight="1" x14ac:dyDescent="0.3">
      <c r="B8" s="57"/>
      <c r="C8" s="57"/>
      <c r="D8" s="57"/>
      <c r="E8" s="57"/>
      <c r="F8" s="73" t="s">
        <v>424</v>
      </c>
      <c r="G8" s="73"/>
      <c r="H8" s="73"/>
      <c r="I8" s="73"/>
      <c r="J8" s="73" t="s">
        <v>173</v>
      </c>
      <c r="K8" s="73"/>
      <c r="L8" s="73"/>
      <c r="M8" s="73"/>
      <c r="N8" s="73" t="s">
        <v>174</v>
      </c>
      <c r="O8" s="73"/>
      <c r="P8" s="73"/>
      <c r="Q8" s="73"/>
    </row>
    <row r="9" spans="2:17" s="11" customFormat="1" x14ac:dyDescent="0.3">
      <c r="B9" s="60" t="s">
        <v>138</v>
      </c>
      <c r="C9" s="61"/>
      <c r="D9" s="62"/>
      <c r="E9" s="63" t="s">
        <v>150</v>
      </c>
      <c r="F9" s="64" t="s">
        <v>421</v>
      </c>
      <c r="G9" s="64" t="s">
        <v>422</v>
      </c>
      <c r="H9" s="64" t="s">
        <v>423</v>
      </c>
      <c r="I9" s="64" t="s">
        <v>425</v>
      </c>
      <c r="J9" s="64" t="s">
        <v>421</v>
      </c>
      <c r="K9" s="64" t="s">
        <v>422</v>
      </c>
      <c r="L9" s="64" t="s">
        <v>423</v>
      </c>
      <c r="M9" s="64" t="s">
        <v>425</v>
      </c>
      <c r="N9" s="64" t="s">
        <v>421</v>
      </c>
      <c r="O9" s="64" t="s">
        <v>422</v>
      </c>
      <c r="P9" s="64" t="s">
        <v>423</v>
      </c>
      <c r="Q9" s="64" t="s">
        <v>425</v>
      </c>
    </row>
    <row r="10" spans="2:17" s="10" customFormat="1" ht="30" customHeight="1" x14ac:dyDescent="0.3">
      <c r="B10" s="27">
        <v>60</v>
      </c>
      <c r="C10" s="17"/>
      <c r="D10" s="17"/>
      <c r="E10" s="17" t="s">
        <v>153</v>
      </c>
      <c r="F10" s="43">
        <f>SUM(F11,F14,F17,F20,F23)</f>
        <v>0</v>
      </c>
      <c r="G10" s="43">
        <f t="shared" ref="G10:H10" si="0">SUM(G11,G14,G17,G20,G23)</f>
        <v>0</v>
      </c>
      <c r="H10" s="43">
        <f t="shared" si="0"/>
        <v>0</v>
      </c>
      <c r="I10" s="43">
        <f>SUM(F10,G10,H10)</f>
        <v>0</v>
      </c>
      <c r="J10" s="43">
        <f>SUM(J11,J14,J17,J20,J23)</f>
        <v>0</v>
      </c>
      <c r="K10" s="43">
        <f>SUM(K11,K14,K17,K20,K23)</f>
        <v>0</v>
      </c>
      <c r="L10" s="43">
        <f>SUM(L11,L14,L17,L20,L23)</f>
        <v>0</v>
      </c>
      <c r="M10" s="43">
        <f>SUM(J10,K10,L10)</f>
        <v>0</v>
      </c>
      <c r="N10" s="43">
        <f>SUM(N11,N14,N17,N20,N23)</f>
        <v>0</v>
      </c>
      <c r="O10" s="43">
        <f t="shared" ref="O10" si="1">SUM(O11,O14,O17,O20,O23)</f>
        <v>0</v>
      </c>
      <c r="P10" s="43">
        <f t="shared" ref="P10" si="2">SUM(P11,P14,P17,P20,P23)</f>
        <v>0</v>
      </c>
      <c r="Q10" s="43">
        <f>SUM(N10,O10,P10)</f>
        <v>0</v>
      </c>
    </row>
    <row r="11" spans="2:17" s="10" customFormat="1" x14ac:dyDescent="0.3">
      <c r="B11" s="27"/>
      <c r="C11" s="17">
        <v>601</v>
      </c>
      <c r="D11" s="3"/>
      <c r="E11" s="17" t="s">
        <v>175</v>
      </c>
      <c r="F11" s="43">
        <f>SUM(F12:F13)</f>
        <v>0</v>
      </c>
      <c r="G11" s="43">
        <f>SUM(G12:G13)</f>
        <v>0</v>
      </c>
      <c r="H11" s="43">
        <f t="shared" ref="H11" si="3">SUM(H12:H13)</f>
        <v>0</v>
      </c>
      <c r="I11" s="43"/>
      <c r="J11" s="43">
        <f>SUM(J12:J13)</f>
        <v>0</v>
      </c>
      <c r="K11" s="43">
        <f t="shared" ref="K11" si="4">SUM(K12:K13)</f>
        <v>0</v>
      </c>
      <c r="L11" s="43">
        <f t="shared" ref="L11" si="5">SUM(L12:L13)</f>
        <v>0</v>
      </c>
      <c r="M11" s="43"/>
      <c r="N11" s="43">
        <f>SUM(N12:N13)</f>
        <v>0</v>
      </c>
      <c r="O11" s="43">
        <f t="shared" ref="O11" si="6">SUM(O12:O13)</f>
        <v>0</v>
      </c>
      <c r="P11" s="43">
        <f t="shared" ref="P11" si="7">SUM(P12:P13)</f>
        <v>0</v>
      </c>
      <c r="Q11" s="43"/>
    </row>
    <row r="12" spans="2:17" x14ac:dyDescent="0.3">
      <c r="B12" s="27"/>
      <c r="C12" s="17"/>
      <c r="D12" s="3">
        <v>6011</v>
      </c>
      <c r="E12" s="3" t="s">
        <v>176</v>
      </c>
      <c r="F12" s="35">
        <f>'DEPENSES PROGRAMME I'!K12</f>
        <v>0</v>
      </c>
      <c r="G12" s="35">
        <f>'DEPENSES PROGRAMME II'!K12</f>
        <v>0</v>
      </c>
      <c r="H12" s="35">
        <f>'DEPENSES PROGRAMME III'!K12</f>
        <v>0</v>
      </c>
      <c r="I12" s="35"/>
      <c r="J12" s="35">
        <f>'DEPENSES PROGRAMME I'!L12</f>
        <v>0</v>
      </c>
      <c r="K12" s="35">
        <f>'DEPENSES PROGRAMME II'!L12</f>
        <v>0</v>
      </c>
      <c r="L12" s="35">
        <f>'DEPENSES PROGRAMME III'!L12</f>
        <v>0</v>
      </c>
      <c r="M12" s="35"/>
      <c r="N12" s="35">
        <f>'DEPENSES PROGRAMME I'!M12</f>
        <v>0</v>
      </c>
      <c r="O12" s="35">
        <f>'DEPENSES PROGRAMME II'!M12</f>
        <v>0</v>
      </c>
      <c r="P12" s="35">
        <f>'DEPENSES PROGRAMME III'!M12</f>
        <v>0</v>
      </c>
      <c r="Q12" s="35"/>
    </row>
    <row r="13" spans="2:17" x14ac:dyDescent="0.3">
      <c r="B13" s="27"/>
      <c r="C13" s="17"/>
      <c r="D13" s="3">
        <v>6012</v>
      </c>
      <c r="E13" s="3" t="s">
        <v>177</v>
      </c>
      <c r="F13" s="35">
        <f>'DEPENSES PROGRAMME I'!K13</f>
        <v>0</v>
      </c>
      <c r="G13" s="35">
        <f>'DEPENSES PROGRAMME II'!K13</f>
        <v>0</v>
      </c>
      <c r="H13" s="35">
        <f>'DEPENSES PROGRAMME III'!K13</f>
        <v>0</v>
      </c>
      <c r="I13" s="35"/>
      <c r="J13" s="35">
        <f>'DEPENSES PROGRAMME I'!L13</f>
        <v>0</v>
      </c>
      <c r="K13" s="35">
        <f>'DEPENSES PROGRAMME II'!L13</f>
        <v>0</v>
      </c>
      <c r="L13" s="35">
        <f>'DEPENSES PROGRAMME III'!L13</f>
        <v>0</v>
      </c>
      <c r="M13" s="35"/>
      <c r="N13" s="35">
        <f>'DEPENSES PROGRAMME I'!M13</f>
        <v>0</v>
      </c>
      <c r="O13" s="35">
        <f>'DEPENSES PROGRAMME II'!M13</f>
        <v>0</v>
      </c>
      <c r="P13" s="35">
        <f>'DEPENSES PROGRAMME III'!M13</f>
        <v>0</v>
      </c>
      <c r="Q13" s="35"/>
    </row>
    <row r="14" spans="2:17" s="10" customFormat="1" x14ac:dyDescent="0.3">
      <c r="B14" s="27"/>
      <c r="C14" s="17">
        <v>602</v>
      </c>
      <c r="D14" s="3"/>
      <c r="E14" s="17" t="s">
        <v>178</v>
      </c>
      <c r="F14" s="43">
        <f>SUM(F15:F16)</f>
        <v>0</v>
      </c>
      <c r="G14" s="43">
        <f t="shared" ref="G14:H14" si="8">SUM(G15:G16)</f>
        <v>0</v>
      </c>
      <c r="H14" s="43">
        <f t="shared" si="8"/>
        <v>0</v>
      </c>
      <c r="I14" s="43"/>
      <c r="J14" s="43">
        <f>SUM(J15:J16)</f>
        <v>0</v>
      </c>
      <c r="K14" s="43">
        <f t="shared" ref="K14" si="9">SUM(K15:K16)</f>
        <v>0</v>
      </c>
      <c r="L14" s="43">
        <f t="shared" ref="L14" si="10">SUM(L15:L16)</f>
        <v>0</v>
      </c>
      <c r="M14" s="43"/>
      <c r="N14" s="43">
        <f>SUM(N15:N16)</f>
        <v>0</v>
      </c>
      <c r="O14" s="43">
        <f t="shared" ref="O14" si="11">SUM(O15:O16)</f>
        <v>0</v>
      </c>
      <c r="P14" s="43">
        <f t="shared" ref="P14" si="12">SUM(P15:P16)</f>
        <v>0</v>
      </c>
      <c r="Q14" s="43"/>
    </row>
    <row r="15" spans="2:17" x14ac:dyDescent="0.3">
      <c r="B15" s="27"/>
      <c r="C15" s="17"/>
      <c r="D15" s="3">
        <v>6021</v>
      </c>
      <c r="E15" s="3" t="s">
        <v>176</v>
      </c>
      <c r="F15" s="35">
        <f>'DEPENSES PROGRAMME I'!K15</f>
        <v>0</v>
      </c>
      <c r="G15" s="35">
        <f>'DEPENSES PROGRAMME II'!K15</f>
        <v>0</v>
      </c>
      <c r="H15" s="35">
        <f>'DEPENSES PROGRAMME III'!K15</f>
        <v>0</v>
      </c>
      <c r="I15" s="35"/>
      <c r="J15" s="35">
        <f>'DEPENSES PROGRAMME I'!L15</f>
        <v>0</v>
      </c>
      <c r="K15" s="35">
        <f>'DEPENSES PROGRAMME II'!L15</f>
        <v>0</v>
      </c>
      <c r="L15" s="35">
        <f>'DEPENSES PROGRAMME III'!L15</f>
        <v>0</v>
      </c>
      <c r="M15" s="35"/>
      <c r="N15" s="35">
        <f>'DEPENSES PROGRAMME I'!M15</f>
        <v>0</v>
      </c>
      <c r="O15" s="35">
        <f>'DEPENSES PROGRAMME II'!M15</f>
        <v>0</v>
      </c>
      <c r="P15" s="35">
        <f>'DEPENSES PROGRAMME III'!M15</f>
        <v>0</v>
      </c>
      <c r="Q15" s="35"/>
    </row>
    <row r="16" spans="2:17" x14ac:dyDescent="0.3">
      <c r="B16" s="27"/>
      <c r="C16" s="17"/>
      <c r="D16" s="3">
        <v>6022</v>
      </c>
      <c r="E16" s="3" t="s">
        <v>177</v>
      </c>
      <c r="F16" s="35">
        <f>'DEPENSES PROGRAMME I'!K16</f>
        <v>0</v>
      </c>
      <c r="G16" s="35">
        <f>'DEPENSES PROGRAMME II'!K16</f>
        <v>0</v>
      </c>
      <c r="H16" s="35">
        <f>'DEPENSES PROGRAMME III'!K16</f>
        <v>0</v>
      </c>
      <c r="I16" s="35"/>
      <c r="J16" s="35">
        <f>'DEPENSES PROGRAMME I'!L16</f>
        <v>0</v>
      </c>
      <c r="K16" s="35">
        <f>'DEPENSES PROGRAMME II'!L16</f>
        <v>0</v>
      </c>
      <c r="L16" s="35">
        <f>'DEPENSES PROGRAMME III'!L16</f>
        <v>0</v>
      </c>
      <c r="M16" s="35"/>
      <c r="N16" s="35">
        <f>'DEPENSES PROGRAMME I'!M16</f>
        <v>0</v>
      </c>
      <c r="O16" s="35">
        <f>'DEPENSES PROGRAMME II'!M16</f>
        <v>0</v>
      </c>
      <c r="P16" s="35">
        <f>'DEPENSES PROGRAMME III'!M16</f>
        <v>0</v>
      </c>
      <c r="Q16" s="35"/>
    </row>
    <row r="17" spans="2:17" s="10" customFormat="1" x14ac:dyDescent="0.3">
      <c r="B17" s="27"/>
      <c r="C17" s="17">
        <v>603</v>
      </c>
      <c r="D17" s="3"/>
      <c r="E17" s="17" t="s">
        <v>179</v>
      </c>
      <c r="F17" s="43">
        <f>SUM(F18:F19)</f>
        <v>0</v>
      </c>
      <c r="G17" s="43">
        <f t="shared" ref="G17:H17" si="13">SUM(G18:G19)</f>
        <v>0</v>
      </c>
      <c r="H17" s="43">
        <f t="shared" si="13"/>
        <v>0</v>
      </c>
      <c r="I17" s="43"/>
      <c r="J17" s="43">
        <f>SUM(J18:J19)</f>
        <v>0</v>
      </c>
      <c r="K17" s="43">
        <f t="shared" ref="K17" si="14">SUM(K18:K19)</f>
        <v>0</v>
      </c>
      <c r="L17" s="43">
        <f t="shared" ref="L17" si="15">SUM(L18:L19)</f>
        <v>0</v>
      </c>
      <c r="M17" s="43"/>
      <c r="N17" s="43">
        <f>SUM(N18:N19)</f>
        <v>0</v>
      </c>
      <c r="O17" s="43">
        <f t="shared" ref="O17" si="16">SUM(O18:O19)</f>
        <v>0</v>
      </c>
      <c r="P17" s="43">
        <f t="shared" ref="P17" si="17">SUM(P18:P19)</f>
        <v>0</v>
      </c>
      <c r="Q17" s="43"/>
    </row>
    <row r="18" spans="2:17" x14ac:dyDescent="0.3">
      <c r="B18" s="27"/>
      <c r="C18" s="17"/>
      <c r="D18" s="3">
        <v>6031</v>
      </c>
      <c r="E18" s="3" t="s">
        <v>176</v>
      </c>
      <c r="F18" s="35">
        <f>'DEPENSES PROGRAMME I'!K18</f>
        <v>0</v>
      </c>
      <c r="G18" s="35">
        <f>'DEPENSES PROGRAMME II'!K18</f>
        <v>0</v>
      </c>
      <c r="H18" s="35">
        <f>'DEPENSES PROGRAMME III'!K18</f>
        <v>0</v>
      </c>
      <c r="I18" s="35"/>
      <c r="J18" s="35">
        <f>'DEPENSES PROGRAMME I'!L18</f>
        <v>0</v>
      </c>
      <c r="K18" s="35">
        <f>'DEPENSES PROGRAMME II'!L18</f>
        <v>0</v>
      </c>
      <c r="L18" s="35">
        <f>'DEPENSES PROGRAMME III'!L18</f>
        <v>0</v>
      </c>
      <c r="M18" s="35"/>
      <c r="N18" s="35">
        <f>'DEPENSES PROGRAMME I'!M18</f>
        <v>0</v>
      </c>
      <c r="O18" s="35">
        <f>'DEPENSES PROGRAMME II'!M18</f>
        <v>0</v>
      </c>
      <c r="P18" s="35">
        <f>'DEPENSES PROGRAMME III'!M18</f>
        <v>0</v>
      </c>
      <c r="Q18" s="35"/>
    </row>
    <row r="19" spans="2:17" x14ac:dyDescent="0.3">
      <c r="B19" s="27"/>
      <c r="C19" s="17"/>
      <c r="D19" s="3">
        <v>6032</v>
      </c>
      <c r="E19" s="3" t="s">
        <v>177</v>
      </c>
      <c r="F19" s="35">
        <f>'DEPENSES PROGRAMME I'!K19</f>
        <v>0</v>
      </c>
      <c r="G19" s="35">
        <f>'DEPENSES PROGRAMME II'!K19</f>
        <v>0</v>
      </c>
      <c r="H19" s="35">
        <f>'DEPENSES PROGRAMME III'!K19</f>
        <v>0</v>
      </c>
      <c r="I19" s="35"/>
      <c r="J19" s="35">
        <f>'DEPENSES PROGRAMME I'!L19</f>
        <v>0</v>
      </c>
      <c r="K19" s="35">
        <f>'DEPENSES PROGRAMME II'!L19</f>
        <v>0</v>
      </c>
      <c r="L19" s="35">
        <f>'DEPENSES PROGRAMME III'!L19</f>
        <v>0</v>
      </c>
      <c r="M19" s="35"/>
      <c r="N19" s="35">
        <f>'DEPENSES PROGRAMME I'!M19</f>
        <v>0</v>
      </c>
      <c r="O19" s="35">
        <f>'DEPENSES PROGRAMME II'!M19</f>
        <v>0</v>
      </c>
      <c r="P19" s="35">
        <f>'DEPENSES PROGRAMME III'!M19</f>
        <v>0</v>
      </c>
      <c r="Q19" s="35"/>
    </row>
    <row r="20" spans="2:17" s="10" customFormat="1" x14ac:dyDescent="0.3">
      <c r="B20" s="27"/>
      <c r="C20" s="17">
        <v>604</v>
      </c>
      <c r="D20" s="3"/>
      <c r="E20" s="17" t="s">
        <v>180</v>
      </c>
      <c r="F20" s="43">
        <f>SUM(F21:F22)</f>
        <v>0</v>
      </c>
      <c r="G20" s="43">
        <f t="shared" ref="G20:H20" si="18">SUM(G21:G22)</f>
        <v>0</v>
      </c>
      <c r="H20" s="43">
        <f t="shared" si="18"/>
        <v>0</v>
      </c>
      <c r="I20" s="43"/>
      <c r="J20" s="43">
        <f>SUM(J21:J22)</f>
        <v>0</v>
      </c>
      <c r="K20" s="43">
        <f t="shared" ref="K20" si="19">SUM(K21:K22)</f>
        <v>0</v>
      </c>
      <c r="L20" s="43">
        <f t="shared" ref="L20" si="20">SUM(L21:L22)</f>
        <v>0</v>
      </c>
      <c r="M20" s="43"/>
      <c r="N20" s="43">
        <f>SUM(N21:N22)</f>
        <v>0</v>
      </c>
      <c r="O20" s="43">
        <f t="shared" ref="O20" si="21">SUM(O21:O22)</f>
        <v>0</v>
      </c>
      <c r="P20" s="43">
        <f t="shared" ref="P20" si="22">SUM(P21:P22)</f>
        <v>0</v>
      </c>
      <c r="Q20" s="43"/>
    </row>
    <row r="21" spans="2:17" x14ac:dyDescent="0.3">
      <c r="B21" s="27"/>
      <c r="C21" s="17"/>
      <c r="D21" s="3">
        <v>6041</v>
      </c>
      <c r="E21" s="3" t="s">
        <v>176</v>
      </c>
      <c r="F21" s="35">
        <f>'DEPENSES PROGRAMME I'!K21</f>
        <v>0</v>
      </c>
      <c r="G21" s="35">
        <f>'DEPENSES PROGRAMME II'!K21</f>
        <v>0</v>
      </c>
      <c r="H21" s="35">
        <f>'DEPENSES PROGRAMME III'!K21</f>
        <v>0</v>
      </c>
      <c r="I21" s="35"/>
      <c r="J21" s="35">
        <f>'DEPENSES PROGRAMME I'!L21</f>
        <v>0</v>
      </c>
      <c r="K21" s="35">
        <f>'DEPENSES PROGRAMME II'!L21</f>
        <v>0</v>
      </c>
      <c r="L21" s="35">
        <f>'DEPENSES PROGRAMME III'!L21</f>
        <v>0</v>
      </c>
      <c r="M21" s="35"/>
      <c r="N21" s="35">
        <f>'DEPENSES PROGRAMME I'!M21</f>
        <v>0</v>
      </c>
      <c r="O21" s="35">
        <f>'DEPENSES PROGRAMME II'!M21</f>
        <v>0</v>
      </c>
      <c r="P21" s="35">
        <f>'DEPENSES PROGRAMME III'!M21</f>
        <v>0</v>
      </c>
      <c r="Q21" s="35"/>
    </row>
    <row r="22" spans="2:17" x14ac:dyDescent="0.3">
      <c r="B22" s="27"/>
      <c r="C22" s="17"/>
      <c r="D22" s="3">
        <v>6042</v>
      </c>
      <c r="E22" s="3" t="s">
        <v>177</v>
      </c>
      <c r="F22" s="35">
        <f>'DEPENSES PROGRAMME I'!K22</f>
        <v>0</v>
      </c>
      <c r="G22" s="35">
        <f>'DEPENSES PROGRAMME II'!K22</f>
        <v>0</v>
      </c>
      <c r="H22" s="35">
        <f>'DEPENSES PROGRAMME III'!K22</f>
        <v>0</v>
      </c>
      <c r="I22" s="35"/>
      <c r="J22" s="35">
        <f>'DEPENSES PROGRAMME I'!L22</f>
        <v>0</v>
      </c>
      <c r="K22" s="35">
        <f>'DEPENSES PROGRAMME II'!L22</f>
        <v>0</v>
      </c>
      <c r="L22" s="35">
        <f>'DEPENSES PROGRAMME III'!L22</f>
        <v>0</v>
      </c>
      <c r="M22" s="35"/>
      <c r="N22" s="35">
        <f>'DEPENSES PROGRAMME I'!M22</f>
        <v>0</v>
      </c>
      <c r="O22" s="35">
        <f>'DEPENSES PROGRAMME II'!M22</f>
        <v>0</v>
      </c>
      <c r="P22" s="35">
        <f>'DEPENSES PROGRAMME III'!M22</f>
        <v>0</v>
      </c>
      <c r="Q22" s="35"/>
    </row>
    <row r="23" spans="2:17" s="10" customFormat="1" x14ac:dyDescent="0.3">
      <c r="B23" s="27"/>
      <c r="C23" s="17">
        <v>606</v>
      </c>
      <c r="D23" s="3"/>
      <c r="E23" s="17" t="s">
        <v>181</v>
      </c>
      <c r="F23" s="43">
        <f>SUM(F24:F28)</f>
        <v>0</v>
      </c>
      <c r="G23" s="43">
        <f t="shared" ref="G23:H23" si="23">SUM(G24:G28)</f>
        <v>0</v>
      </c>
      <c r="H23" s="43">
        <f t="shared" si="23"/>
        <v>0</v>
      </c>
      <c r="I23" s="43"/>
      <c r="J23" s="43">
        <f>SUM(J24:J28)</f>
        <v>0</v>
      </c>
      <c r="K23" s="43">
        <f t="shared" ref="K23" si="24">SUM(K24:K28)</f>
        <v>0</v>
      </c>
      <c r="L23" s="43">
        <f t="shared" ref="L23" si="25">SUM(L24:L28)</f>
        <v>0</v>
      </c>
      <c r="M23" s="43"/>
      <c r="N23" s="43">
        <f>SUM(N24:N28)</f>
        <v>0</v>
      </c>
      <c r="O23" s="43">
        <f t="shared" ref="O23" si="26">SUM(O24:O28)</f>
        <v>0</v>
      </c>
      <c r="P23" s="43">
        <f t="shared" ref="P23" si="27">SUM(P24:P28)</f>
        <v>0</v>
      </c>
      <c r="Q23" s="43"/>
    </row>
    <row r="24" spans="2:17" x14ac:dyDescent="0.3">
      <c r="B24" s="27"/>
      <c r="C24" s="17"/>
      <c r="D24" s="3">
        <v>6061</v>
      </c>
      <c r="E24" s="3" t="s">
        <v>183</v>
      </c>
      <c r="F24" s="35">
        <f>'DEPENSES PROGRAMME I'!K24</f>
        <v>0</v>
      </c>
      <c r="G24" s="35">
        <f>'DEPENSES PROGRAMME II'!K24</f>
        <v>0</v>
      </c>
      <c r="H24" s="35">
        <f>'DEPENSES PROGRAMME III'!K24</f>
        <v>0</v>
      </c>
      <c r="I24" s="35"/>
      <c r="J24" s="35">
        <f>'DEPENSES PROGRAMME I'!L24</f>
        <v>0</v>
      </c>
      <c r="K24" s="35">
        <f>'DEPENSES PROGRAMME II'!L24</f>
        <v>0</v>
      </c>
      <c r="L24" s="35">
        <f>'DEPENSES PROGRAMME III'!L24</f>
        <v>0</v>
      </c>
      <c r="M24" s="35"/>
      <c r="N24" s="35">
        <f>'DEPENSES PROGRAMME I'!M24</f>
        <v>0</v>
      </c>
      <c r="O24" s="35">
        <f>'DEPENSES PROGRAMME II'!M24</f>
        <v>0</v>
      </c>
      <c r="P24" s="35">
        <f>'DEPENSES PROGRAMME III'!M24</f>
        <v>0</v>
      </c>
      <c r="Q24" s="35"/>
    </row>
    <row r="25" spans="2:17" x14ac:dyDescent="0.3">
      <c r="B25" s="27"/>
      <c r="C25" s="17"/>
      <c r="D25" s="3">
        <v>6062</v>
      </c>
      <c r="E25" s="3" t="s">
        <v>182</v>
      </c>
      <c r="F25" s="35">
        <f>'DEPENSES PROGRAMME I'!K25</f>
        <v>0</v>
      </c>
      <c r="G25" s="35">
        <f>'DEPENSES PROGRAMME II'!K25</f>
        <v>0</v>
      </c>
      <c r="H25" s="35">
        <f>'DEPENSES PROGRAMME III'!K25</f>
        <v>0</v>
      </c>
      <c r="I25" s="35"/>
      <c r="J25" s="35">
        <f>'DEPENSES PROGRAMME I'!L25</f>
        <v>0</v>
      </c>
      <c r="K25" s="35">
        <f>'DEPENSES PROGRAMME II'!L25</f>
        <v>0</v>
      </c>
      <c r="L25" s="35">
        <f>'DEPENSES PROGRAMME III'!L25</f>
        <v>0</v>
      </c>
      <c r="M25" s="35"/>
      <c r="N25" s="35">
        <f>'DEPENSES PROGRAMME I'!M25</f>
        <v>0</v>
      </c>
      <c r="O25" s="35">
        <f>'DEPENSES PROGRAMME II'!M25</f>
        <v>0</v>
      </c>
      <c r="P25" s="35">
        <f>'DEPENSES PROGRAMME III'!M25</f>
        <v>0</v>
      </c>
      <c r="Q25" s="35"/>
    </row>
    <row r="26" spans="2:17" x14ac:dyDescent="0.3">
      <c r="B26" s="27"/>
      <c r="C26" s="17"/>
      <c r="D26" s="3">
        <v>6063</v>
      </c>
      <c r="E26" s="3" t="s">
        <v>184</v>
      </c>
      <c r="F26" s="35">
        <f>'DEPENSES PROGRAMME I'!K26</f>
        <v>0</v>
      </c>
      <c r="G26" s="35">
        <f>'DEPENSES PROGRAMME II'!K26</f>
        <v>0</v>
      </c>
      <c r="H26" s="35">
        <f>'DEPENSES PROGRAMME III'!K26</f>
        <v>0</v>
      </c>
      <c r="I26" s="35"/>
      <c r="J26" s="35">
        <f>'DEPENSES PROGRAMME I'!L26</f>
        <v>0</v>
      </c>
      <c r="K26" s="35">
        <f>'DEPENSES PROGRAMME II'!L26</f>
        <v>0</v>
      </c>
      <c r="L26" s="35">
        <f>'DEPENSES PROGRAMME III'!L26</f>
        <v>0</v>
      </c>
      <c r="M26" s="35"/>
      <c r="N26" s="35">
        <f>'DEPENSES PROGRAMME I'!M26</f>
        <v>0</v>
      </c>
      <c r="O26" s="35">
        <f>'DEPENSES PROGRAMME II'!M26</f>
        <v>0</v>
      </c>
      <c r="P26" s="35">
        <f>'DEPENSES PROGRAMME III'!M26</f>
        <v>0</v>
      </c>
      <c r="Q26" s="35"/>
    </row>
    <row r="27" spans="2:17" x14ac:dyDescent="0.3">
      <c r="B27" s="27"/>
      <c r="C27" s="17"/>
      <c r="D27" s="3">
        <v>6064</v>
      </c>
      <c r="E27" s="3" t="s">
        <v>185</v>
      </c>
      <c r="F27" s="35">
        <f>'DEPENSES PROGRAMME I'!K27</f>
        <v>0</v>
      </c>
      <c r="G27" s="35">
        <f>'DEPENSES PROGRAMME II'!K27</f>
        <v>0</v>
      </c>
      <c r="H27" s="35">
        <f>'DEPENSES PROGRAMME III'!K27</f>
        <v>0</v>
      </c>
      <c r="I27" s="35"/>
      <c r="J27" s="35">
        <f>'DEPENSES PROGRAMME I'!L27</f>
        <v>0</v>
      </c>
      <c r="K27" s="35">
        <f>'DEPENSES PROGRAMME II'!L27</f>
        <v>0</v>
      </c>
      <c r="L27" s="35">
        <f>'DEPENSES PROGRAMME III'!L27</f>
        <v>0</v>
      </c>
      <c r="M27" s="35"/>
      <c r="N27" s="35">
        <f>'DEPENSES PROGRAMME I'!M27</f>
        <v>0</v>
      </c>
      <c r="O27" s="35">
        <f>'DEPENSES PROGRAMME II'!M27</f>
        <v>0</v>
      </c>
      <c r="P27" s="35">
        <f>'DEPENSES PROGRAMME III'!M27</f>
        <v>0</v>
      </c>
      <c r="Q27" s="35"/>
    </row>
    <row r="28" spans="2:17" x14ac:dyDescent="0.3">
      <c r="B28" s="27"/>
      <c r="C28" s="17"/>
      <c r="D28" s="3">
        <v>6068</v>
      </c>
      <c r="E28" s="3" t="s">
        <v>186</v>
      </c>
      <c r="F28" s="35">
        <f>'DEPENSES PROGRAMME I'!K28</f>
        <v>0</v>
      </c>
      <c r="G28" s="35">
        <f>'DEPENSES PROGRAMME II'!K28</f>
        <v>0</v>
      </c>
      <c r="H28" s="35">
        <f>'DEPENSES PROGRAMME III'!K28</f>
        <v>0</v>
      </c>
      <c r="I28" s="35"/>
      <c r="J28" s="35">
        <f>'DEPENSES PROGRAMME I'!L28</f>
        <v>0</v>
      </c>
      <c r="K28" s="35">
        <f>'DEPENSES PROGRAMME II'!L28</f>
        <v>0</v>
      </c>
      <c r="L28" s="35">
        <f>'DEPENSES PROGRAMME III'!L28</f>
        <v>0</v>
      </c>
      <c r="M28" s="35"/>
      <c r="N28" s="35">
        <f>'DEPENSES PROGRAMME I'!M28</f>
        <v>0</v>
      </c>
      <c r="O28" s="35">
        <f>'DEPENSES PROGRAMME II'!M28</f>
        <v>0</v>
      </c>
      <c r="P28" s="35">
        <f>'DEPENSES PROGRAMME III'!M28</f>
        <v>0</v>
      </c>
      <c r="Q28" s="35"/>
    </row>
    <row r="29" spans="2:17" s="10" customFormat="1" ht="30" customHeight="1" x14ac:dyDescent="0.3">
      <c r="B29" s="27">
        <v>61</v>
      </c>
      <c r="C29" s="17"/>
      <c r="D29" s="17"/>
      <c r="E29" s="17" t="s">
        <v>154</v>
      </c>
      <c r="F29" s="43">
        <f>SUM(F30,F38,F47,F51,F56)</f>
        <v>0</v>
      </c>
      <c r="G29" s="43">
        <f t="shared" ref="G29:H29" si="28">SUM(G30,G38,G47,G51,G56)</f>
        <v>0</v>
      </c>
      <c r="H29" s="43">
        <f t="shared" si="28"/>
        <v>0</v>
      </c>
      <c r="I29" s="43">
        <f>SUM(F29,G29,H29)</f>
        <v>0</v>
      </c>
      <c r="J29" s="43">
        <f>SUM(J30,J38,J47,J51,J56)</f>
        <v>0</v>
      </c>
      <c r="K29" s="43">
        <f t="shared" ref="K29" si="29">SUM(K30,K38,K47,K51,K56)</f>
        <v>0</v>
      </c>
      <c r="L29" s="43">
        <f t="shared" ref="L29" si="30">SUM(L30,L38,L47,L51,L56)</f>
        <v>0</v>
      </c>
      <c r="M29" s="43">
        <f>SUM(J29,K29,L29)</f>
        <v>0</v>
      </c>
      <c r="N29" s="43">
        <f>SUM(N30,N38,N47,N51,N56)</f>
        <v>0</v>
      </c>
      <c r="O29" s="43">
        <f t="shared" ref="O29" si="31">SUM(O30,O38,O47,O51,O56)</f>
        <v>0</v>
      </c>
      <c r="P29" s="43">
        <f t="shared" ref="P29" si="32">SUM(P30,P38,P47,P51,P56)</f>
        <v>0</v>
      </c>
      <c r="Q29" s="43">
        <f>SUM(N29,O29,P29)</f>
        <v>0</v>
      </c>
    </row>
    <row r="30" spans="2:17" s="10" customFormat="1" x14ac:dyDescent="0.3">
      <c r="B30" s="27"/>
      <c r="C30" s="17">
        <v>611</v>
      </c>
      <c r="D30" s="3"/>
      <c r="E30" s="17" t="s">
        <v>187</v>
      </c>
      <c r="F30" s="43">
        <f>SUM(F31:F37)</f>
        <v>0</v>
      </c>
      <c r="G30" s="43">
        <f t="shared" ref="G30:H30" si="33">SUM(G31:G37)</f>
        <v>0</v>
      </c>
      <c r="H30" s="43">
        <f t="shared" si="33"/>
        <v>0</v>
      </c>
      <c r="I30" s="43"/>
      <c r="J30" s="43">
        <f>SUM(J31:J37)</f>
        <v>0</v>
      </c>
      <c r="K30" s="43">
        <f t="shared" ref="K30" si="34">SUM(K31:K37)</f>
        <v>0</v>
      </c>
      <c r="L30" s="43">
        <f t="shared" ref="L30" si="35">SUM(L31:L37)</f>
        <v>0</v>
      </c>
      <c r="M30" s="43"/>
      <c r="N30" s="43">
        <f>SUM(N31:N37)</f>
        <v>0</v>
      </c>
      <c r="O30" s="43">
        <f t="shared" ref="O30" si="36">SUM(O31:O37)</f>
        <v>0</v>
      </c>
      <c r="P30" s="43">
        <f t="shared" ref="P30" si="37">SUM(P31:P37)</f>
        <v>0</v>
      </c>
      <c r="Q30" s="43"/>
    </row>
    <row r="31" spans="2:17" x14ac:dyDescent="0.3">
      <c r="B31" s="27"/>
      <c r="C31" s="17"/>
      <c r="D31" s="3">
        <v>6111</v>
      </c>
      <c r="E31" s="3" t="s">
        <v>188</v>
      </c>
      <c r="F31" s="35">
        <f>'DEPENSES PROGRAMME I'!K31</f>
        <v>0</v>
      </c>
      <c r="G31" s="35">
        <f>'DEPENSES PROGRAMME II'!K31</f>
        <v>0</v>
      </c>
      <c r="H31" s="35">
        <f>'DEPENSES PROGRAMME III'!K31</f>
        <v>0</v>
      </c>
      <c r="I31" s="35"/>
      <c r="J31" s="35">
        <f>'DEPENSES PROGRAMME I'!L31</f>
        <v>0</v>
      </c>
      <c r="K31" s="35">
        <f>'DEPENSES PROGRAMME II'!L31</f>
        <v>0</v>
      </c>
      <c r="L31" s="35">
        <f>'DEPENSES PROGRAMME III'!L31</f>
        <v>0</v>
      </c>
      <c r="M31" s="35"/>
      <c r="N31" s="35">
        <f>'DEPENSES PROGRAMME I'!M31</f>
        <v>0</v>
      </c>
      <c r="O31" s="35">
        <f>'DEPENSES PROGRAMME II'!M31</f>
        <v>0</v>
      </c>
      <c r="P31" s="35">
        <f>'DEPENSES PROGRAMME III'!M31</f>
        <v>0</v>
      </c>
      <c r="Q31" s="35"/>
    </row>
    <row r="32" spans="2:17" x14ac:dyDescent="0.3">
      <c r="B32" s="27"/>
      <c r="C32" s="17"/>
      <c r="D32" s="3">
        <v>6112</v>
      </c>
      <c r="E32" s="3" t="s">
        <v>189</v>
      </c>
      <c r="F32" s="35">
        <f>'DEPENSES PROGRAMME I'!K32</f>
        <v>0</v>
      </c>
      <c r="G32" s="35">
        <f>'DEPENSES PROGRAMME II'!K32</f>
        <v>0</v>
      </c>
      <c r="H32" s="35">
        <f>'DEPENSES PROGRAMME III'!K32</f>
        <v>0</v>
      </c>
      <c r="I32" s="35"/>
      <c r="J32" s="35">
        <f>'DEPENSES PROGRAMME I'!L32</f>
        <v>0</v>
      </c>
      <c r="K32" s="35">
        <f>'DEPENSES PROGRAMME II'!L32</f>
        <v>0</v>
      </c>
      <c r="L32" s="35">
        <f>'DEPENSES PROGRAMME III'!L32</f>
        <v>0</v>
      </c>
      <c r="M32" s="35"/>
      <c r="N32" s="35">
        <f>'DEPENSES PROGRAMME I'!M32</f>
        <v>0</v>
      </c>
      <c r="O32" s="35">
        <f>'DEPENSES PROGRAMME II'!M32</f>
        <v>0</v>
      </c>
      <c r="P32" s="35">
        <f>'DEPENSES PROGRAMME III'!M32</f>
        <v>0</v>
      </c>
      <c r="Q32" s="35"/>
    </row>
    <row r="33" spans="2:17" x14ac:dyDescent="0.3">
      <c r="B33" s="27"/>
      <c r="C33" s="17"/>
      <c r="D33" s="3">
        <v>6113</v>
      </c>
      <c r="E33" s="3" t="s">
        <v>190</v>
      </c>
      <c r="F33" s="35">
        <f>'DEPENSES PROGRAMME I'!K33</f>
        <v>0</v>
      </c>
      <c r="G33" s="35">
        <f>'DEPENSES PROGRAMME II'!K33</f>
        <v>0</v>
      </c>
      <c r="H33" s="35">
        <f>'DEPENSES PROGRAMME III'!K33</f>
        <v>0</v>
      </c>
      <c r="I33" s="35"/>
      <c r="J33" s="35">
        <f>'DEPENSES PROGRAMME I'!L33</f>
        <v>0</v>
      </c>
      <c r="K33" s="35">
        <f>'DEPENSES PROGRAMME II'!L33</f>
        <v>0</v>
      </c>
      <c r="L33" s="35">
        <f>'DEPENSES PROGRAMME III'!L33</f>
        <v>0</v>
      </c>
      <c r="M33" s="35"/>
      <c r="N33" s="35">
        <f>'DEPENSES PROGRAMME I'!M33</f>
        <v>0</v>
      </c>
      <c r="O33" s="35">
        <f>'DEPENSES PROGRAMME II'!M33</f>
        <v>0</v>
      </c>
      <c r="P33" s="35">
        <f>'DEPENSES PROGRAMME III'!M33</f>
        <v>0</v>
      </c>
      <c r="Q33" s="35"/>
    </row>
    <row r="34" spans="2:17" x14ac:dyDescent="0.3">
      <c r="B34" s="27"/>
      <c r="C34" s="17"/>
      <c r="D34" s="3">
        <v>6114</v>
      </c>
      <c r="E34" s="3" t="s">
        <v>191</v>
      </c>
      <c r="F34" s="35">
        <f>'DEPENSES PROGRAMME I'!K34</f>
        <v>0</v>
      </c>
      <c r="G34" s="35">
        <f>'DEPENSES PROGRAMME II'!K34</f>
        <v>0</v>
      </c>
      <c r="H34" s="35">
        <f>'DEPENSES PROGRAMME III'!K34</f>
        <v>0</v>
      </c>
      <c r="I34" s="35"/>
      <c r="J34" s="35">
        <f>'DEPENSES PROGRAMME I'!L34</f>
        <v>0</v>
      </c>
      <c r="K34" s="35">
        <f>'DEPENSES PROGRAMME II'!L34</f>
        <v>0</v>
      </c>
      <c r="L34" s="35">
        <f>'DEPENSES PROGRAMME III'!L34</f>
        <v>0</v>
      </c>
      <c r="M34" s="35"/>
      <c r="N34" s="35">
        <f>'DEPENSES PROGRAMME I'!M34</f>
        <v>0</v>
      </c>
      <c r="O34" s="35">
        <f>'DEPENSES PROGRAMME II'!M34</f>
        <v>0</v>
      </c>
      <c r="P34" s="35">
        <f>'DEPENSES PROGRAMME III'!M34</f>
        <v>0</v>
      </c>
      <c r="Q34" s="35"/>
    </row>
    <row r="35" spans="2:17" x14ac:dyDescent="0.3">
      <c r="B35" s="27"/>
      <c r="C35" s="17"/>
      <c r="D35" s="3">
        <v>6115</v>
      </c>
      <c r="E35" s="3" t="s">
        <v>192</v>
      </c>
      <c r="F35" s="35">
        <f>'DEPENSES PROGRAMME I'!K35</f>
        <v>0</v>
      </c>
      <c r="G35" s="35">
        <f>'DEPENSES PROGRAMME II'!K35</f>
        <v>0</v>
      </c>
      <c r="H35" s="35">
        <f>'DEPENSES PROGRAMME III'!K35</f>
        <v>0</v>
      </c>
      <c r="I35" s="35"/>
      <c r="J35" s="35">
        <f>'DEPENSES PROGRAMME I'!L35</f>
        <v>0</v>
      </c>
      <c r="K35" s="35">
        <f>'DEPENSES PROGRAMME II'!L35</f>
        <v>0</v>
      </c>
      <c r="L35" s="35">
        <f>'DEPENSES PROGRAMME III'!L35</f>
        <v>0</v>
      </c>
      <c r="M35" s="35"/>
      <c r="N35" s="35">
        <f>'DEPENSES PROGRAMME I'!M35</f>
        <v>0</v>
      </c>
      <c r="O35" s="35">
        <f>'DEPENSES PROGRAMME II'!M35</f>
        <v>0</v>
      </c>
      <c r="P35" s="35">
        <f>'DEPENSES PROGRAMME III'!M35</f>
        <v>0</v>
      </c>
      <c r="Q35" s="35"/>
    </row>
    <row r="36" spans="2:17" x14ac:dyDescent="0.3">
      <c r="B36" s="27"/>
      <c r="C36" s="17"/>
      <c r="D36" s="3">
        <v>6116</v>
      </c>
      <c r="E36" s="3" t="s">
        <v>193</v>
      </c>
      <c r="F36" s="35">
        <f>'DEPENSES PROGRAMME I'!K36</f>
        <v>0</v>
      </c>
      <c r="G36" s="35">
        <f>'DEPENSES PROGRAMME II'!K36</f>
        <v>0</v>
      </c>
      <c r="H36" s="35">
        <f>'DEPENSES PROGRAMME III'!K36</f>
        <v>0</v>
      </c>
      <c r="I36" s="35"/>
      <c r="J36" s="35">
        <f>'DEPENSES PROGRAMME I'!L36</f>
        <v>0</v>
      </c>
      <c r="K36" s="35">
        <f>'DEPENSES PROGRAMME II'!L36</f>
        <v>0</v>
      </c>
      <c r="L36" s="35">
        <f>'DEPENSES PROGRAMME III'!L36</f>
        <v>0</v>
      </c>
      <c r="M36" s="35"/>
      <c r="N36" s="35">
        <f>'DEPENSES PROGRAMME I'!M36</f>
        <v>0</v>
      </c>
      <c r="O36" s="35">
        <f>'DEPENSES PROGRAMME II'!M36</f>
        <v>0</v>
      </c>
      <c r="P36" s="35">
        <f>'DEPENSES PROGRAMME III'!M36</f>
        <v>0</v>
      </c>
      <c r="Q36" s="35"/>
    </row>
    <row r="37" spans="2:17" x14ac:dyDescent="0.3">
      <c r="B37" s="27"/>
      <c r="C37" s="17"/>
      <c r="D37" s="3">
        <v>6117</v>
      </c>
      <c r="E37" s="3" t="s">
        <v>194</v>
      </c>
      <c r="F37" s="35">
        <f>'DEPENSES PROGRAMME I'!K37</f>
        <v>0</v>
      </c>
      <c r="G37" s="35">
        <f>'DEPENSES PROGRAMME II'!K37</f>
        <v>0</v>
      </c>
      <c r="H37" s="35">
        <f>'DEPENSES PROGRAMME III'!K37</f>
        <v>0</v>
      </c>
      <c r="I37" s="35"/>
      <c r="J37" s="35">
        <f>'DEPENSES PROGRAMME I'!L37</f>
        <v>0</v>
      </c>
      <c r="K37" s="35">
        <f>'DEPENSES PROGRAMME II'!L37</f>
        <v>0</v>
      </c>
      <c r="L37" s="35">
        <f>'DEPENSES PROGRAMME III'!L37</f>
        <v>0</v>
      </c>
      <c r="M37" s="35"/>
      <c r="N37" s="35">
        <f>'DEPENSES PROGRAMME I'!M37</f>
        <v>0</v>
      </c>
      <c r="O37" s="35">
        <f>'DEPENSES PROGRAMME II'!M37</f>
        <v>0</v>
      </c>
      <c r="P37" s="35">
        <f>'DEPENSES PROGRAMME III'!M37</f>
        <v>0</v>
      </c>
      <c r="Q37" s="35"/>
    </row>
    <row r="38" spans="2:17" s="10" customFormat="1" x14ac:dyDescent="0.3">
      <c r="B38" s="27"/>
      <c r="C38" s="17">
        <v>612</v>
      </c>
      <c r="D38" s="3"/>
      <c r="E38" s="17" t="s">
        <v>195</v>
      </c>
      <c r="F38" s="43">
        <f>SUM(F39:F46)</f>
        <v>0</v>
      </c>
      <c r="G38" s="43">
        <f t="shared" ref="G38:H38" si="38">SUM(G39:G46)</f>
        <v>0</v>
      </c>
      <c r="H38" s="43">
        <f t="shared" si="38"/>
        <v>0</v>
      </c>
      <c r="I38" s="43"/>
      <c r="J38" s="43">
        <f>SUM(J39:J46)</f>
        <v>0</v>
      </c>
      <c r="K38" s="43">
        <f t="shared" ref="K38" si="39">SUM(K39:K46)</f>
        <v>0</v>
      </c>
      <c r="L38" s="43">
        <f t="shared" ref="L38" si="40">SUM(L39:L46)</f>
        <v>0</v>
      </c>
      <c r="M38" s="43"/>
      <c r="N38" s="43">
        <f>SUM(N39:N46)</f>
        <v>0</v>
      </c>
      <c r="O38" s="43">
        <f t="shared" ref="O38" si="41">SUM(O39:O46)</f>
        <v>0</v>
      </c>
      <c r="P38" s="43">
        <f t="shared" ref="P38" si="42">SUM(P39:P46)</f>
        <v>0</v>
      </c>
      <c r="Q38" s="43"/>
    </row>
    <row r="39" spans="2:17" x14ac:dyDescent="0.3">
      <c r="B39" s="27"/>
      <c r="C39" s="17"/>
      <c r="D39" s="3">
        <v>6121</v>
      </c>
      <c r="E39" s="3" t="s">
        <v>196</v>
      </c>
      <c r="F39" s="35">
        <f>'DEPENSES PROGRAMME I'!K39</f>
        <v>0</v>
      </c>
      <c r="G39" s="35">
        <f>'DEPENSES PROGRAMME II'!K39</f>
        <v>0</v>
      </c>
      <c r="H39" s="35">
        <f>'DEPENSES PROGRAMME III'!K39</f>
        <v>0</v>
      </c>
      <c r="I39" s="35"/>
      <c r="J39" s="35">
        <f>'DEPENSES PROGRAMME I'!L39</f>
        <v>0</v>
      </c>
      <c r="K39" s="35">
        <f>'DEPENSES PROGRAMME II'!L39</f>
        <v>0</v>
      </c>
      <c r="L39" s="35">
        <f>'DEPENSES PROGRAMME III'!L39</f>
        <v>0</v>
      </c>
      <c r="M39" s="35"/>
      <c r="N39" s="35">
        <f>'DEPENSES PROGRAMME I'!M39</f>
        <v>0</v>
      </c>
      <c r="O39" s="35">
        <f>'DEPENSES PROGRAMME II'!M39</f>
        <v>0</v>
      </c>
      <c r="P39" s="35">
        <f>'DEPENSES PROGRAMME III'!M39</f>
        <v>0</v>
      </c>
      <c r="Q39" s="35"/>
    </row>
    <row r="40" spans="2:17" x14ac:dyDescent="0.3">
      <c r="B40" s="27"/>
      <c r="C40" s="17"/>
      <c r="D40" s="3">
        <v>6122</v>
      </c>
      <c r="E40" s="3" t="s">
        <v>197</v>
      </c>
      <c r="F40" s="35">
        <f>'DEPENSES PROGRAMME I'!K40</f>
        <v>0</v>
      </c>
      <c r="G40" s="35">
        <f>'DEPENSES PROGRAMME II'!K40</f>
        <v>0</v>
      </c>
      <c r="H40" s="35">
        <f>'DEPENSES PROGRAMME III'!K40</f>
        <v>0</v>
      </c>
      <c r="I40" s="35"/>
      <c r="J40" s="35">
        <f>'DEPENSES PROGRAMME I'!L40</f>
        <v>0</v>
      </c>
      <c r="K40" s="35">
        <f>'DEPENSES PROGRAMME II'!L40</f>
        <v>0</v>
      </c>
      <c r="L40" s="35">
        <f>'DEPENSES PROGRAMME III'!L40</f>
        <v>0</v>
      </c>
      <c r="M40" s="35"/>
      <c r="N40" s="35">
        <f>'DEPENSES PROGRAMME I'!M40</f>
        <v>0</v>
      </c>
      <c r="O40" s="35">
        <f>'DEPENSES PROGRAMME II'!M40</f>
        <v>0</v>
      </c>
      <c r="P40" s="35">
        <f>'DEPENSES PROGRAMME III'!M40</f>
        <v>0</v>
      </c>
      <c r="Q40" s="35"/>
    </row>
    <row r="41" spans="2:17" x14ac:dyDescent="0.3">
      <c r="B41" s="27"/>
      <c r="C41" s="17"/>
      <c r="D41" s="3">
        <v>6123</v>
      </c>
      <c r="E41" s="3" t="s">
        <v>198</v>
      </c>
      <c r="F41" s="35">
        <f>'DEPENSES PROGRAMME I'!K41</f>
        <v>0</v>
      </c>
      <c r="G41" s="35">
        <f>'DEPENSES PROGRAMME II'!K41</f>
        <v>0</v>
      </c>
      <c r="H41" s="35">
        <f>'DEPENSES PROGRAMME III'!K41</f>
        <v>0</v>
      </c>
      <c r="I41" s="35"/>
      <c r="J41" s="35">
        <f>'DEPENSES PROGRAMME I'!L41</f>
        <v>0</v>
      </c>
      <c r="K41" s="35">
        <f>'DEPENSES PROGRAMME II'!L41</f>
        <v>0</v>
      </c>
      <c r="L41" s="35">
        <f>'DEPENSES PROGRAMME III'!L41</f>
        <v>0</v>
      </c>
      <c r="M41" s="35"/>
      <c r="N41" s="35">
        <f>'DEPENSES PROGRAMME I'!M41</f>
        <v>0</v>
      </c>
      <c r="O41" s="35">
        <f>'DEPENSES PROGRAMME II'!M41</f>
        <v>0</v>
      </c>
      <c r="P41" s="35">
        <f>'DEPENSES PROGRAMME III'!M41</f>
        <v>0</v>
      </c>
      <c r="Q41" s="35"/>
    </row>
    <row r="42" spans="2:17" x14ac:dyDescent="0.3">
      <c r="B42" s="27"/>
      <c r="C42" s="17"/>
      <c r="D42" s="3">
        <v>6124</v>
      </c>
      <c r="E42" s="3" t="s">
        <v>199</v>
      </c>
      <c r="F42" s="35">
        <f>'DEPENSES PROGRAMME I'!K42</f>
        <v>0</v>
      </c>
      <c r="G42" s="35">
        <f>'DEPENSES PROGRAMME II'!K42</f>
        <v>0</v>
      </c>
      <c r="H42" s="35">
        <f>'DEPENSES PROGRAMME III'!K42</f>
        <v>0</v>
      </c>
      <c r="I42" s="35"/>
      <c r="J42" s="35">
        <f>'DEPENSES PROGRAMME I'!L42</f>
        <v>0</v>
      </c>
      <c r="K42" s="35">
        <f>'DEPENSES PROGRAMME II'!L42</f>
        <v>0</v>
      </c>
      <c r="L42" s="35">
        <f>'DEPENSES PROGRAMME III'!L42</f>
        <v>0</v>
      </c>
      <c r="M42" s="35"/>
      <c r="N42" s="35">
        <f>'DEPENSES PROGRAMME I'!M42</f>
        <v>0</v>
      </c>
      <c r="O42" s="35">
        <f>'DEPENSES PROGRAMME II'!M42</f>
        <v>0</v>
      </c>
      <c r="P42" s="35">
        <f>'DEPENSES PROGRAMME III'!M42</f>
        <v>0</v>
      </c>
      <c r="Q42" s="35"/>
    </row>
    <row r="43" spans="2:17" x14ac:dyDescent="0.3">
      <c r="B43" s="27"/>
      <c r="C43" s="17"/>
      <c r="D43" s="3">
        <v>6125</v>
      </c>
      <c r="E43" s="3" t="s">
        <v>200</v>
      </c>
      <c r="F43" s="35">
        <f>'DEPENSES PROGRAMME I'!K43</f>
        <v>0</v>
      </c>
      <c r="G43" s="35">
        <f>'DEPENSES PROGRAMME II'!K43</f>
        <v>0</v>
      </c>
      <c r="H43" s="35">
        <f>'DEPENSES PROGRAMME III'!K43</f>
        <v>0</v>
      </c>
      <c r="I43" s="35"/>
      <c r="J43" s="35">
        <f>'DEPENSES PROGRAMME I'!L43</f>
        <v>0</v>
      </c>
      <c r="K43" s="35">
        <f>'DEPENSES PROGRAMME II'!L43</f>
        <v>0</v>
      </c>
      <c r="L43" s="35">
        <f>'DEPENSES PROGRAMME III'!L43</f>
        <v>0</v>
      </c>
      <c r="M43" s="35"/>
      <c r="N43" s="35">
        <f>'DEPENSES PROGRAMME I'!M43</f>
        <v>0</v>
      </c>
      <c r="O43" s="35">
        <f>'DEPENSES PROGRAMME II'!M43</f>
        <v>0</v>
      </c>
      <c r="P43" s="35">
        <f>'DEPENSES PROGRAMME III'!M43</f>
        <v>0</v>
      </c>
      <c r="Q43" s="35"/>
    </row>
    <row r="44" spans="2:17" x14ac:dyDescent="0.3">
      <c r="B44" s="27"/>
      <c r="C44" s="17"/>
      <c r="D44" s="3">
        <v>6126</v>
      </c>
      <c r="E44" s="3" t="s">
        <v>201</v>
      </c>
      <c r="F44" s="35">
        <f>'DEPENSES PROGRAMME I'!K44</f>
        <v>0</v>
      </c>
      <c r="G44" s="35">
        <f>'DEPENSES PROGRAMME II'!K44</f>
        <v>0</v>
      </c>
      <c r="H44" s="35">
        <f>'DEPENSES PROGRAMME III'!K44</f>
        <v>0</v>
      </c>
      <c r="I44" s="35"/>
      <c r="J44" s="35">
        <f>'DEPENSES PROGRAMME I'!L44</f>
        <v>0</v>
      </c>
      <c r="K44" s="35">
        <f>'DEPENSES PROGRAMME II'!L44</f>
        <v>0</v>
      </c>
      <c r="L44" s="35">
        <f>'DEPENSES PROGRAMME III'!L44</f>
        <v>0</v>
      </c>
      <c r="M44" s="35"/>
      <c r="N44" s="35">
        <f>'DEPENSES PROGRAMME I'!M44</f>
        <v>0</v>
      </c>
      <c r="O44" s="35">
        <f>'DEPENSES PROGRAMME II'!M44</f>
        <v>0</v>
      </c>
      <c r="P44" s="35">
        <f>'DEPENSES PROGRAMME III'!M44</f>
        <v>0</v>
      </c>
      <c r="Q44" s="35"/>
    </row>
    <row r="45" spans="2:17" x14ac:dyDescent="0.3">
      <c r="B45" s="27"/>
      <c r="C45" s="17"/>
      <c r="D45" s="3">
        <v>6127</v>
      </c>
      <c r="E45" s="3" t="s">
        <v>202</v>
      </c>
      <c r="F45" s="35">
        <f>'DEPENSES PROGRAMME I'!K45</f>
        <v>0</v>
      </c>
      <c r="G45" s="35">
        <f>'DEPENSES PROGRAMME II'!K45</f>
        <v>0</v>
      </c>
      <c r="H45" s="35">
        <f>'DEPENSES PROGRAMME III'!K45</f>
        <v>0</v>
      </c>
      <c r="I45" s="35"/>
      <c r="J45" s="35">
        <f>'DEPENSES PROGRAMME I'!L45</f>
        <v>0</v>
      </c>
      <c r="K45" s="35">
        <f>'DEPENSES PROGRAMME II'!L45</f>
        <v>0</v>
      </c>
      <c r="L45" s="35">
        <f>'DEPENSES PROGRAMME III'!L45</f>
        <v>0</v>
      </c>
      <c r="M45" s="35"/>
      <c r="N45" s="35">
        <f>'DEPENSES PROGRAMME I'!M45</f>
        <v>0</v>
      </c>
      <c r="O45" s="35">
        <f>'DEPENSES PROGRAMME II'!M45</f>
        <v>0</v>
      </c>
      <c r="P45" s="35">
        <f>'DEPENSES PROGRAMME III'!M45</f>
        <v>0</v>
      </c>
      <c r="Q45" s="35"/>
    </row>
    <row r="46" spans="2:17" x14ac:dyDescent="0.3">
      <c r="B46" s="27"/>
      <c r="C46" s="17"/>
      <c r="D46" s="3">
        <v>6128</v>
      </c>
      <c r="E46" s="3" t="s">
        <v>203</v>
      </c>
      <c r="F46" s="35">
        <f>'DEPENSES PROGRAMME I'!K46</f>
        <v>0</v>
      </c>
      <c r="G46" s="35">
        <f>'DEPENSES PROGRAMME II'!K46</f>
        <v>0</v>
      </c>
      <c r="H46" s="35">
        <f>'DEPENSES PROGRAMME III'!K46</f>
        <v>0</v>
      </c>
      <c r="I46" s="35"/>
      <c r="J46" s="35">
        <f>'DEPENSES PROGRAMME I'!L46</f>
        <v>0</v>
      </c>
      <c r="K46" s="35">
        <f>'DEPENSES PROGRAMME II'!L46</f>
        <v>0</v>
      </c>
      <c r="L46" s="35">
        <f>'DEPENSES PROGRAMME III'!L46</f>
        <v>0</v>
      </c>
      <c r="M46" s="35"/>
      <c r="N46" s="35">
        <f>'DEPENSES PROGRAMME I'!M46</f>
        <v>0</v>
      </c>
      <c r="O46" s="35">
        <f>'DEPENSES PROGRAMME II'!M46</f>
        <v>0</v>
      </c>
      <c r="P46" s="35">
        <f>'DEPENSES PROGRAMME III'!M46</f>
        <v>0</v>
      </c>
      <c r="Q46" s="35"/>
    </row>
    <row r="47" spans="2:17" s="10" customFormat="1" x14ac:dyDescent="0.3">
      <c r="B47" s="27"/>
      <c r="C47" s="17">
        <v>613</v>
      </c>
      <c r="D47" s="3"/>
      <c r="E47" s="17" t="s">
        <v>204</v>
      </c>
      <c r="F47" s="43">
        <f>SUM(F48:F50)</f>
        <v>0</v>
      </c>
      <c r="G47" s="43">
        <f t="shared" ref="G47:H47" si="43">SUM(G48:G50)</f>
        <v>0</v>
      </c>
      <c r="H47" s="43">
        <f t="shared" si="43"/>
        <v>0</v>
      </c>
      <c r="I47" s="43"/>
      <c r="J47" s="43">
        <f>SUM(J48:J50)</f>
        <v>0</v>
      </c>
      <c r="K47" s="43">
        <f t="shared" ref="K47" si="44">SUM(K48:K50)</f>
        <v>0</v>
      </c>
      <c r="L47" s="43">
        <f t="shared" ref="L47" si="45">SUM(L48:L50)</f>
        <v>0</v>
      </c>
      <c r="M47" s="43"/>
      <c r="N47" s="43">
        <f>SUM(N48:N50)</f>
        <v>0</v>
      </c>
      <c r="O47" s="43">
        <f t="shared" ref="O47" si="46">SUM(O48:O50)</f>
        <v>0</v>
      </c>
      <c r="P47" s="43">
        <f t="shared" ref="P47" si="47">SUM(P48:P50)</f>
        <v>0</v>
      </c>
      <c r="Q47" s="43"/>
    </row>
    <row r="48" spans="2:17" x14ac:dyDescent="0.3">
      <c r="B48" s="27"/>
      <c r="C48" s="17"/>
      <c r="D48" s="3">
        <v>6131</v>
      </c>
      <c r="E48" s="3" t="s">
        <v>205</v>
      </c>
      <c r="F48" s="35">
        <f>'DEPENSES PROGRAMME I'!K48</f>
        <v>0</v>
      </c>
      <c r="G48" s="35">
        <f>'DEPENSES PROGRAMME II'!K48</f>
        <v>0</v>
      </c>
      <c r="H48" s="35">
        <f>'DEPENSES PROGRAMME III'!K48</f>
        <v>0</v>
      </c>
      <c r="I48" s="35"/>
      <c r="J48" s="35">
        <f>'DEPENSES PROGRAMME I'!L48</f>
        <v>0</v>
      </c>
      <c r="K48" s="35">
        <f>'DEPENSES PROGRAMME II'!L48</f>
        <v>0</v>
      </c>
      <c r="L48" s="35">
        <f>'DEPENSES PROGRAMME III'!L48</f>
        <v>0</v>
      </c>
      <c r="M48" s="35"/>
      <c r="N48" s="35">
        <f>'DEPENSES PROGRAMME I'!M48</f>
        <v>0</v>
      </c>
      <c r="O48" s="35">
        <f>'DEPENSES PROGRAMME II'!M48</f>
        <v>0</v>
      </c>
      <c r="P48" s="35">
        <f>'DEPENSES PROGRAMME III'!M48</f>
        <v>0</v>
      </c>
      <c r="Q48" s="35"/>
    </row>
    <row r="49" spans="2:17" x14ac:dyDescent="0.3">
      <c r="B49" s="27"/>
      <c r="C49" s="17"/>
      <c r="D49" s="3">
        <v>6132</v>
      </c>
      <c r="E49" s="3" t="s">
        <v>206</v>
      </c>
      <c r="F49" s="35">
        <f>'DEPENSES PROGRAMME I'!K49</f>
        <v>0</v>
      </c>
      <c r="G49" s="35">
        <f>'DEPENSES PROGRAMME II'!K49</f>
        <v>0</v>
      </c>
      <c r="H49" s="35">
        <f>'DEPENSES PROGRAMME III'!K49</f>
        <v>0</v>
      </c>
      <c r="I49" s="35"/>
      <c r="J49" s="35">
        <f>'DEPENSES PROGRAMME I'!L49</f>
        <v>0</v>
      </c>
      <c r="K49" s="35">
        <f>'DEPENSES PROGRAMME II'!L49</f>
        <v>0</v>
      </c>
      <c r="L49" s="35">
        <f>'DEPENSES PROGRAMME III'!L49</f>
        <v>0</v>
      </c>
      <c r="M49" s="35"/>
      <c r="N49" s="35">
        <f>'DEPENSES PROGRAMME I'!M49</f>
        <v>0</v>
      </c>
      <c r="O49" s="35">
        <f>'DEPENSES PROGRAMME II'!M49</f>
        <v>0</v>
      </c>
      <c r="P49" s="35">
        <f>'DEPENSES PROGRAMME III'!M49</f>
        <v>0</v>
      </c>
      <c r="Q49" s="35"/>
    </row>
    <row r="50" spans="2:17" x14ac:dyDescent="0.3">
      <c r="B50" s="27"/>
      <c r="C50" s="17"/>
      <c r="D50" s="3">
        <v>6138</v>
      </c>
      <c r="E50" s="3" t="s">
        <v>207</v>
      </c>
      <c r="F50" s="35">
        <f>'DEPENSES PROGRAMME I'!K50</f>
        <v>0</v>
      </c>
      <c r="G50" s="35">
        <f>'DEPENSES PROGRAMME II'!K50</f>
        <v>0</v>
      </c>
      <c r="H50" s="35">
        <f>'DEPENSES PROGRAMME III'!K50</f>
        <v>0</v>
      </c>
      <c r="I50" s="35"/>
      <c r="J50" s="35">
        <f>'DEPENSES PROGRAMME I'!L50</f>
        <v>0</v>
      </c>
      <c r="K50" s="35">
        <f>'DEPENSES PROGRAMME II'!L50</f>
        <v>0</v>
      </c>
      <c r="L50" s="35">
        <f>'DEPENSES PROGRAMME III'!L50</f>
        <v>0</v>
      </c>
      <c r="M50" s="35"/>
      <c r="N50" s="35">
        <f>'DEPENSES PROGRAMME I'!M50</f>
        <v>0</v>
      </c>
      <c r="O50" s="35">
        <f>'DEPENSES PROGRAMME II'!M50</f>
        <v>0</v>
      </c>
      <c r="P50" s="35">
        <f>'DEPENSES PROGRAMME III'!M50</f>
        <v>0</v>
      </c>
      <c r="Q50" s="35"/>
    </row>
    <row r="51" spans="2:17" s="10" customFormat="1" x14ac:dyDescent="0.3">
      <c r="B51" s="27"/>
      <c r="C51" s="17">
        <v>616</v>
      </c>
      <c r="D51" s="3"/>
      <c r="E51" s="17" t="s">
        <v>208</v>
      </c>
      <c r="F51" s="43">
        <f>SUM(F52:F55)</f>
        <v>0</v>
      </c>
      <c r="G51" s="43">
        <f t="shared" ref="G51:H51" si="48">SUM(G52:G55)</f>
        <v>0</v>
      </c>
      <c r="H51" s="43">
        <f t="shared" si="48"/>
        <v>0</v>
      </c>
      <c r="I51" s="43"/>
      <c r="J51" s="43">
        <f>SUM(J52:J55)</f>
        <v>0</v>
      </c>
      <c r="K51" s="43">
        <f t="shared" ref="K51" si="49">SUM(K52:K55)</f>
        <v>0</v>
      </c>
      <c r="L51" s="43">
        <f t="shared" ref="L51" si="50">SUM(L52:L55)</f>
        <v>0</v>
      </c>
      <c r="M51" s="43"/>
      <c r="N51" s="43">
        <f>SUM(N52:N55)</f>
        <v>0</v>
      </c>
      <c r="O51" s="43">
        <f t="shared" ref="O51" si="51">SUM(O52:O55)</f>
        <v>0</v>
      </c>
      <c r="P51" s="43">
        <f t="shared" ref="P51" si="52">SUM(P52:P55)</f>
        <v>0</v>
      </c>
      <c r="Q51" s="43"/>
    </row>
    <row r="52" spans="2:17" x14ac:dyDescent="0.3">
      <c r="B52" s="27"/>
      <c r="C52" s="17"/>
      <c r="D52" s="3">
        <v>6161</v>
      </c>
      <c r="E52" s="3" t="s">
        <v>209</v>
      </c>
      <c r="F52" s="35">
        <f>'DEPENSES PROGRAMME I'!K52</f>
        <v>0</v>
      </c>
      <c r="G52" s="35">
        <f>'DEPENSES PROGRAMME II'!K52</f>
        <v>0</v>
      </c>
      <c r="H52" s="35">
        <f>'DEPENSES PROGRAMME III'!K52</f>
        <v>0</v>
      </c>
      <c r="I52" s="35"/>
      <c r="J52" s="35">
        <f>'DEPENSES PROGRAMME I'!L52</f>
        <v>0</v>
      </c>
      <c r="K52" s="35">
        <f>'DEPENSES PROGRAMME II'!L52</f>
        <v>0</v>
      </c>
      <c r="L52" s="35">
        <f>'DEPENSES PROGRAMME III'!L52</f>
        <v>0</v>
      </c>
      <c r="M52" s="35"/>
      <c r="N52" s="35">
        <f>'DEPENSES PROGRAMME I'!M52</f>
        <v>0</v>
      </c>
      <c r="O52" s="35">
        <f>'DEPENSES PROGRAMME II'!M52</f>
        <v>0</v>
      </c>
      <c r="P52" s="35">
        <f>'DEPENSES PROGRAMME III'!M52</f>
        <v>0</v>
      </c>
      <c r="Q52" s="35"/>
    </row>
    <row r="53" spans="2:17" x14ac:dyDescent="0.3">
      <c r="B53" s="27"/>
      <c r="C53" s="17"/>
      <c r="D53" s="3">
        <v>6162</v>
      </c>
      <c r="E53" s="3" t="s">
        <v>210</v>
      </c>
      <c r="F53" s="35">
        <f>'DEPENSES PROGRAMME I'!K53</f>
        <v>0</v>
      </c>
      <c r="G53" s="35">
        <f>'DEPENSES PROGRAMME II'!K53</f>
        <v>0</v>
      </c>
      <c r="H53" s="35">
        <f>'DEPENSES PROGRAMME III'!K53</f>
        <v>0</v>
      </c>
      <c r="I53" s="35"/>
      <c r="J53" s="35">
        <f>'DEPENSES PROGRAMME I'!L53</f>
        <v>0</v>
      </c>
      <c r="K53" s="35">
        <f>'DEPENSES PROGRAMME II'!L53</f>
        <v>0</v>
      </c>
      <c r="L53" s="35">
        <f>'DEPENSES PROGRAMME III'!L53</f>
        <v>0</v>
      </c>
      <c r="M53" s="35"/>
      <c r="N53" s="35">
        <f>'DEPENSES PROGRAMME I'!M53</f>
        <v>0</v>
      </c>
      <c r="O53" s="35">
        <f>'DEPENSES PROGRAMME II'!M53</f>
        <v>0</v>
      </c>
      <c r="P53" s="35">
        <f>'DEPENSES PROGRAMME III'!M53</f>
        <v>0</v>
      </c>
      <c r="Q53" s="35"/>
    </row>
    <row r="54" spans="2:17" x14ac:dyDescent="0.3">
      <c r="B54" s="27"/>
      <c r="C54" s="17"/>
      <c r="D54" s="3">
        <v>6163</v>
      </c>
      <c r="E54" s="3" t="s">
        <v>211</v>
      </c>
      <c r="F54" s="35">
        <f>'DEPENSES PROGRAMME I'!K54</f>
        <v>0</v>
      </c>
      <c r="G54" s="35">
        <f>'DEPENSES PROGRAMME II'!K54</f>
        <v>0</v>
      </c>
      <c r="H54" s="35">
        <f>'DEPENSES PROGRAMME III'!K54</f>
        <v>0</v>
      </c>
      <c r="I54" s="35"/>
      <c r="J54" s="35">
        <f>'DEPENSES PROGRAMME I'!L54</f>
        <v>0</v>
      </c>
      <c r="K54" s="35">
        <f>'DEPENSES PROGRAMME II'!L54</f>
        <v>0</v>
      </c>
      <c r="L54" s="35">
        <f>'DEPENSES PROGRAMME III'!L54</f>
        <v>0</v>
      </c>
      <c r="M54" s="35"/>
      <c r="N54" s="35">
        <f>'DEPENSES PROGRAMME I'!M54</f>
        <v>0</v>
      </c>
      <c r="O54" s="35">
        <f>'DEPENSES PROGRAMME II'!M54</f>
        <v>0</v>
      </c>
      <c r="P54" s="35">
        <f>'DEPENSES PROGRAMME III'!M54</f>
        <v>0</v>
      </c>
      <c r="Q54" s="35"/>
    </row>
    <row r="55" spans="2:17" x14ac:dyDescent="0.3">
      <c r="B55" s="27"/>
      <c r="C55" s="17"/>
      <c r="D55" s="3">
        <v>6168</v>
      </c>
      <c r="E55" s="3" t="s">
        <v>212</v>
      </c>
      <c r="F55" s="35">
        <f>'DEPENSES PROGRAMME I'!K55</f>
        <v>0</v>
      </c>
      <c r="G55" s="35">
        <f>'DEPENSES PROGRAMME II'!K55</f>
        <v>0</v>
      </c>
      <c r="H55" s="35">
        <f>'DEPENSES PROGRAMME III'!K55</f>
        <v>0</v>
      </c>
      <c r="I55" s="35"/>
      <c r="J55" s="35">
        <f>'DEPENSES PROGRAMME I'!L55</f>
        <v>0</v>
      </c>
      <c r="K55" s="35">
        <f>'DEPENSES PROGRAMME II'!L55</f>
        <v>0</v>
      </c>
      <c r="L55" s="35">
        <f>'DEPENSES PROGRAMME III'!L55</f>
        <v>0</v>
      </c>
      <c r="M55" s="35"/>
      <c r="N55" s="35">
        <f>'DEPENSES PROGRAMME I'!M55</f>
        <v>0</v>
      </c>
      <c r="O55" s="35">
        <f>'DEPENSES PROGRAMME II'!M55</f>
        <v>0</v>
      </c>
      <c r="P55" s="35">
        <f>'DEPENSES PROGRAMME III'!M55</f>
        <v>0</v>
      </c>
      <c r="Q55" s="35"/>
    </row>
    <row r="56" spans="2:17" s="10" customFormat="1" x14ac:dyDescent="0.3">
      <c r="B56" s="27"/>
      <c r="C56" s="17">
        <v>618</v>
      </c>
      <c r="D56" s="3"/>
      <c r="E56" s="17" t="s">
        <v>213</v>
      </c>
      <c r="F56" s="43">
        <f>SUM(F57:F59)</f>
        <v>0</v>
      </c>
      <c r="G56" s="43">
        <f t="shared" ref="G56:H56" si="53">SUM(G57:G59)</f>
        <v>0</v>
      </c>
      <c r="H56" s="43">
        <f t="shared" si="53"/>
        <v>0</v>
      </c>
      <c r="I56" s="43"/>
      <c r="J56" s="43">
        <f>SUM(J57:J59)</f>
        <v>0</v>
      </c>
      <c r="K56" s="43">
        <f t="shared" ref="K56" si="54">SUM(K57:K59)</f>
        <v>0</v>
      </c>
      <c r="L56" s="43">
        <f t="shared" ref="L56" si="55">SUM(L57:L59)</f>
        <v>0</v>
      </c>
      <c r="M56" s="43"/>
      <c r="N56" s="43">
        <f>SUM(N57:N59)</f>
        <v>0</v>
      </c>
      <c r="O56" s="43">
        <f t="shared" ref="O56" si="56">SUM(O57:O59)</f>
        <v>0</v>
      </c>
      <c r="P56" s="43">
        <f t="shared" ref="P56" si="57">SUM(P57:P59)</f>
        <v>0</v>
      </c>
      <c r="Q56" s="43"/>
    </row>
    <row r="57" spans="2:17" x14ac:dyDescent="0.3">
      <c r="B57" s="27"/>
      <c r="C57" s="17"/>
      <c r="D57" s="3">
        <v>6181</v>
      </c>
      <c r="E57" s="3" t="s">
        <v>214</v>
      </c>
      <c r="F57" s="35">
        <f>'DEPENSES PROGRAMME I'!K57</f>
        <v>0</v>
      </c>
      <c r="G57" s="35">
        <f>'DEPENSES PROGRAMME II'!K57</f>
        <v>0</v>
      </c>
      <c r="H57" s="35">
        <f>'DEPENSES PROGRAMME III'!K57</f>
        <v>0</v>
      </c>
      <c r="I57" s="35"/>
      <c r="J57" s="35">
        <f>'DEPENSES PROGRAMME I'!L57</f>
        <v>0</v>
      </c>
      <c r="K57" s="35">
        <f>'DEPENSES PROGRAMME II'!L57</f>
        <v>0</v>
      </c>
      <c r="L57" s="35">
        <f>'DEPENSES PROGRAMME III'!L57</f>
        <v>0</v>
      </c>
      <c r="M57" s="35"/>
      <c r="N57" s="35">
        <f>'DEPENSES PROGRAMME I'!M57</f>
        <v>0</v>
      </c>
      <c r="O57" s="35">
        <f>'DEPENSES PROGRAMME II'!M57</f>
        <v>0</v>
      </c>
      <c r="P57" s="35">
        <f>'DEPENSES PROGRAMME III'!M57</f>
        <v>0</v>
      </c>
      <c r="Q57" s="35"/>
    </row>
    <row r="58" spans="2:17" x14ac:dyDescent="0.3">
      <c r="B58" s="27"/>
      <c r="C58" s="17"/>
      <c r="D58" s="3">
        <v>6182</v>
      </c>
      <c r="E58" s="3" t="s">
        <v>215</v>
      </c>
      <c r="F58" s="35">
        <f>'DEPENSES PROGRAMME I'!K58</f>
        <v>0</v>
      </c>
      <c r="G58" s="35">
        <f>'DEPENSES PROGRAMME II'!K58</f>
        <v>0</v>
      </c>
      <c r="H58" s="35">
        <f>'DEPENSES PROGRAMME III'!K58</f>
        <v>0</v>
      </c>
      <c r="I58" s="35"/>
      <c r="J58" s="35">
        <f>'DEPENSES PROGRAMME I'!L58</f>
        <v>0</v>
      </c>
      <c r="K58" s="35">
        <f>'DEPENSES PROGRAMME II'!L58</f>
        <v>0</v>
      </c>
      <c r="L58" s="35">
        <f>'DEPENSES PROGRAMME III'!L58</f>
        <v>0</v>
      </c>
      <c r="M58" s="35"/>
      <c r="N58" s="35">
        <f>'DEPENSES PROGRAMME I'!M58</f>
        <v>0</v>
      </c>
      <c r="O58" s="35">
        <f>'DEPENSES PROGRAMME II'!M58</f>
        <v>0</v>
      </c>
      <c r="P58" s="35">
        <f>'DEPENSES PROGRAMME III'!M58</f>
        <v>0</v>
      </c>
      <c r="Q58" s="35"/>
    </row>
    <row r="59" spans="2:17" x14ac:dyDescent="0.3">
      <c r="B59" s="27"/>
      <c r="C59" s="17"/>
      <c r="D59" s="3">
        <v>6183</v>
      </c>
      <c r="E59" s="3" t="s">
        <v>216</v>
      </c>
      <c r="F59" s="35">
        <f>'DEPENSES PROGRAMME I'!K59</f>
        <v>0</v>
      </c>
      <c r="G59" s="35">
        <f>'DEPENSES PROGRAMME II'!K59</f>
        <v>0</v>
      </c>
      <c r="H59" s="35">
        <f>'DEPENSES PROGRAMME III'!K59</f>
        <v>0</v>
      </c>
      <c r="I59" s="35"/>
      <c r="J59" s="35">
        <f>'DEPENSES PROGRAMME I'!L59</f>
        <v>0</v>
      </c>
      <c r="K59" s="35">
        <f>'DEPENSES PROGRAMME II'!L59</f>
        <v>0</v>
      </c>
      <c r="L59" s="35">
        <f>'DEPENSES PROGRAMME III'!L59</f>
        <v>0</v>
      </c>
      <c r="M59" s="35"/>
      <c r="N59" s="35">
        <f>'DEPENSES PROGRAMME I'!M59</f>
        <v>0</v>
      </c>
      <c r="O59" s="35">
        <f>'DEPENSES PROGRAMME II'!M59</f>
        <v>0</v>
      </c>
      <c r="P59" s="35">
        <f>'DEPENSES PROGRAMME III'!M59</f>
        <v>0</v>
      </c>
      <c r="Q59" s="35"/>
    </row>
    <row r="60" spans="2:17" s="10" customFormat="1" ht="30" customHeight="1" x14ac:dyDescent="0.3">
      <c r="B60" s="27">
        <v>62</v>
      </c>
      <c r="C60" s="17"/>
      <c r="D60" s="17"/>
      <c r="E60" s="17" t="s">
        <v>155</v>
      </c>
      <c r="F60" s="43">
        <f>SUM(F61,F70,F77,F83,F87,F89,F96,F103)</f>
        <v>0</v>
      </c>
      <c r="G60" s="43">
        <f t="shared" ref="G60:H60" si="58">SUM(G61,G70,G77,G83,G87,G89,G96,G103)</f>
        <v>0</v>
      </c>
      <c r="H60" s="43">
        <f t="shared" si="58"/>
        <v>0</v>
      </c>
      <c r="I60" s="43">
        <f>SUM(F60,G60,H60)</f>
        <v>0</v>
      </c>
      <c r="J60" s="43">
        <f>SUM(J61,J70,J77,J83,J87,J89,J96,J103)</f>
        <v>0</v>
      </c>
      <c r="K60" s="43">
        <f t="shared" ref="K60" si="59">SUM(K61,K70,K77,K83,K87,K89,K96,K103)</f>
        <v>0</v>
      </c>
      <c r="L60" s="43">
        <f t="shared" ref="L60" si="60">SUM(L61,L70,L77,L83,L87,L89,L96,L103)</f>
        <v>0</v>
      </c>
      <c r="M60" s="43">
        <f>SUM(J60,K60,L60)</f>
        <v>0</v>
      </c>
      <c r="N60" s="43">
        <f>SUM(N61,N70,N77,N83,N87,N89,N96,N103)</f>
        <v>0</v>
      </c>
      <c r="O60" s="43">
        <f t="shared" ref="O60" si="61">SUM(O61,O70,O77,O83,O87,O89,O96,O103)</f>
        <v>0</v>
      </c>
      <c r="P60" s="43">
        <f t="shared" ref="P60" si="62">SUM(P61,P70,P77,P83,P87,P89,P96,P103)</f>
        <v>0</v>
      </c>
      <c r="Q60" s="43">
        <f>SUM(N60,O60,P60)</f>
        <v>0</v>
      </c>
    </row>
    <row r="61" spans="2:17" s="10" customFormat="1" x14ac:dyDescent="0.3">
      <c r="B61" s="27"/>
      <c r="C61" s="17">
        <v>621</v>
      </c>
      <c r="D61" s="3"/>
      <c r="E61" s="17" t="s">
        <v>217</v>
      </c>
      <c r="F61" s="43">
        <f>SUM(F62:F69)</f>
        <v>0</v>
      </c>
      <c r="G61" s="43">
        <f t="shared" ref="G61:H61" si="63">SUM(G62:G69)</f>
        <v>0</v>
      </c>
      <c r="H61" s="43">
        <f t="shared" si="63"/>
        <v>0</v>
      </c>
      <c r="I61" s="43"/>
      <c r="J61" s="43">
        <f>SUM(J62:J69)</f>
        <v>0</v>
      </c>
      <c r="K61" s="43">
        <f t="shared" ref="K61" si="64">SUM(K62:K69)</f>
        <v>0</v>
      </c>
      <c r="L61" s="43">
        <f t="shared" ref="L61" si="65">SUM(L62:L69)</f>
        <v>0</v>
      </c>
      <c r="M61" s="43"/>
      <c r="N61" s="43">
        <f>SUM(N62:N69)</f>
        <v>0</v>
      </c>
      <c r="O61" s="43">
        <f t="shared" ref="O61" si="66">SUM(O62:O69)</f>
        <v>0</v>
      </c>
      <c r="P61" s="43">
        <f t="shared" ref="P61" si="67">SUM(P62:P69)</f>
        <v>0</v>
      </c>
      <c r="Q61" s="43"/>
    </row>
    <row r="62" spans="2:17" x14ac:dyDescent="0.3">
      <c r="B62" s="27"/>
      <c r="C62" s="17"/>
      <c r="D62" s="3">
        <v>6211</v>
      </c>
      <c r="E62" s="3" t="s">
        <v>218</v>
      </c>
      <c r="F62" s="35">
        <f>'DEPENSES PROGRAMME I'!K62</f>
        <v>0</v>
      </c>
      <c r="G62" s="35">
        <f>'DEPENSES PROGRAMME II'!K62</f>
        <v>0</v>
      </c>
      <c r="H62" s="35">
        <f>'DEPENSES PROGRAMME III'!K62</f>
        <v>0</v>
      </c>
      <c r="I62" s="35"/>
      <c r="J62" s="35">
        <f>'DEPENSES PROGRAMME I'!L62</f>
        <v>0</v>
      </c>
      <c r="K62" s="35">
        <f>'DEPENSES PROGRAMME II'!L62</f>
        <v>0</v>
      </c>
      <c r="L62" s="35">
        <f>'DEPENSES PROGRAMME III'!L62</f>
        <v>0</v>
      </c>
      <c r="M62" s="35"/>
      <c r="N62" s="35">
        <f>'DEPENSES PROGRAMME I'!M62</f>
        <v>0</v>
      </c>
      <c r="O62" s="35">
        <f>'DEPENSES PROGRAMME II'!M62</f>
        <v>0</v>
      </c>
      <c r="P62" s="35">
        <f>'DEPENSES PROGRAMME III'!M62</f>
        <v>0</v>
      </c>
      <c r="Q62" s="35"/>
    </row>
    <row r="63" spans="2:17" x14ac:dyDescent="0.3">
      <c r="B63" s="27"/>
      <c r="C63" s="17"/>
      <c r="D63" s="3">
        <v>6212</v>
      </c>
      <c r="E63" s="3" t="s">
        <v>219</v>
      </c>
      <c r="F63" s="35">
        <f>'DEPENSES PROGRAMME I'!K63</f>
        <v>0</v>
      </c>
      <c r="G63" s="35">
        <f>'DEPENSES PROGRAMME II'!K63</f>
        <v>0</v>
      </c>
      <c r="H63" s="35">
        <f>'DEPENSES PROGRAMME III'!K63</f>
        <v>0</v>
      </c>
      <c r="I63" s="35"/>
      <c r="J63" s="35">
        <f>'DEPENSES PROGRAMME I'!L63</f>
        <v>0</v>
      </c>
      <c r="K63" s="35">
        <f>'DEPENSES PROGRAMME II'!L63</f>
        <v>0</v>
      </c>
      <c r="L63" s="35">
        <f>'DEPENSES PROGRAMME III'!L63</f>
        <v>0</v>
      </c>
      <c r="M63" s="35"/>
      <c r="N63" s="35">
        <f>'DEPENSES PROGRAMME I'!M63</f>
        <v>0</v>
      </c>
      <c r="O63" s="35">
        <f>'DEPENSES PROGRAMME II'!M63</f>
        <v>0</v>
      </c>
      <c r="P63" s="35">
        <f>'DEPENSES PROGRAMME III'!M63</f>
        <v>0</v>
      </c>
      <c r="Q63" s="35"/>
    </row>
    <row r="64" spans="2:17" x14ac:dyDescent="0.3">
      <c r="B64" s="27"/>
      <c r="C64" s="17"/>
      <c r="D64" s="3">
        <v>6213</v>
      </c>
      <c r="E64" s="3" t="s">
        <v>220</v>
      </c>
      <c r="F64" s="35">
        <f>'DEPENSES PROGRAMME I'!K64</f>
        <v>0</v>
      </c>
      <c r="G64" s="35">
        <f>'DEPENSES PROGRAMME II'!K64</f>
        <v>0</v>
      </c>
      <c r="H64" s="35">
        <f>'DEPENSES PROGRAMME III'!K64</f>
        <v>0</v>
      </c>
      <c r="I64" s="35"/>
      <c r="J64" s="35">
        <f>'DEPENSES PROGRAMME I'!L64</f>
        <v>0</v>
      </c>
      <c r="K64" s="35">
        <f>'DEPENSES PROGRAMME II'!L64</f>
        <v>0</v>
      </c>
      <c r="L64" s="35">
        <f>'DEPENSES PROGRAMME III'!L64</f>
        <v>0</v>
      </c>
      <c r="M64" s="35"/>
      <c r="N64" s="35">
        <f>'DEPENSES PROGRAMME I'!M64</f>
        <v>0</v>
      </c>
      <c r="O64" s="35">
        <f>'DEPENSES PROGRAMME II'!M64</f>
        <v>0</v>
      </c>
      <c r="P64" s="35">
        <f>'DEPENSES PROGRAMME III'!M64</f>
        <v>0</v>
      </c>
      <c r="Q64" s="35"/>
    </row>
    <row r="65" spans="2:17" x14ac:dyDescent="0.3">
      <c r="B65" s="27"/>
      <c r="C65" s="17"/>
      <c r="D65" s="3">
        <v>6214</v>
      </c>
      <c r="E65" s="3" t="s">
        <v>221</v>
      </c>
      <c r="F65" s="35">
        <f>'DEPENSES PROGRAMME I'!K65</f>
        <v>0</v>
      </c>
      <c r="G65" s="35">
        <f>'DEPENSES PROGRAMME II'!K65</f>
        <v>0</v>
      </c>
      <c r="H65" s="35">
        <f>'DEPENSES PROGRAMME III'!K65</f>
        <v>0</v>
      </c>
      <c r="I65" s="35"/>
      <c r="J65" s="35">
        <f>'DEPENSES PROGRAMME I'!L65</f>
        <v>0</v>
      </c>
      <c r="K65" s="35">
        <f>'DEPENSES PROGRAMME II'!L65</f>
        <v>0</v>
      </c>
      <c r="L65" s="35">
        <f>'DEPENSES PROGRAMME III'!L65</f>
        <v>0</v>
      </c>
      <c r="M65" s="35"/>
      <c r="N65" s="35">
        <f>'DEPENSES PROGRAMME I'!M65</f>
        <v>0</v>
      </c>
      <c r="O65" s="35">
        <f>'DEPENSES PROGRAMME II'!M65</f>
        <v>0</v>
      </c>
      <c r="P65" s="35">
        <f>'DEPENSES PROGRAMME III'!M65</f>
        <v>0</v>
      </c>
      <c r="Q65" s="35"/>
    </row>
    <row r="66" spans="2:17" x14ac:dyDescent="0.3">
      <c r="B66" s="27"/>
      <c r="C66" s="17"/>
      <c r="D66" s="3">
        <v>6215</v>
      </c>
      <c r="E66" s="3" t="s">
        <v>222</v>
      </c>
      <c r="F66" s="35">
        <f>'DEPENSES PROGRAMME I'!K66</f>
        <v>0</v>
      </c>
      <c r="G66" s="35">
        <f>'DEPENSES PROGRAMME II'!K66</f>
        <v>0</v>
      </c>
      <c r="H66" s="35">
        <f>'DEPENSES PROGRAMME III'!K66</f>
        <v>0</v>
      </c>
      <c r="I66" s="35"/>
      <c r="J66" s="35">
        <f>'DEPENSES PROGRAMME I'!L66</f>
        <v>0</v>
      </c>
      <c r="K66" s="35">
        <f>'DEPENSES PROGRAMME II'!L66</f>
        <v>0</v>
      </c>
      <c r="L66" s="35">
        <f>'DEPENSES PROGRAMME III'!L66</f>
        <v>0</v>
      </c>
      <c r="M66" s="35"/>
      <c r="N66" s="35">
        <f>'DEPENSES PROGRAMME I'!M66</f>
        <v>0</v>
      </c>
      <c r="O66" s="35">
        <f>'DEPENSES PROGRAMME II'!M66</f>
        <v>0</v>
      </c>
      <c r="P66" s="35">
        <f>'DEPENSES PROGRAMME III'!M66</f>
        <v>0</v>
      </c>
      <c r="Q66" s="35"/>
    </row>
    <row r="67" spans="2:17" x14ac:dyDescent="0.3">
      <c r="B67" s="27"/>
      <c r="C67" s="17"/>
      <c r="D67" s="3">
        <v>6216</v>
      </c>
      <c r="E67" s="3" t="s">
        <v>223</v>
      </c>
      <c r="F67" s="35">
        <f>'DEPENSES PROGRAMME I'!K67</f>
        <v>0</v>
      </c>
      <c r="G67" s="35">
        <f>'DEPENSES PROGRAMME II'!K67</f>
        <v>0</v>
      </c>
      <c r="H67" s="35">
        <f>'DEPENSES PROGRAMME III'!K67</f>
        <v>0</v>
      </c>
      <c r="I67" s="35"/>
      <c r="J67" s="35">
        <f>'DEPENSES PROGRAMME I'!L67</f>
        <v>0</v>
      </c>
      <c r="K67" s="35">
        <f>'DEPENSES PROGRAMME II'!L67</f>
        <v>0</v>
      </c>
      <c r="L67" s="35">
        <f>'DEPENSES PROGRAMME III'!L67</f>
        <v>0</v>
      </c>
      <c r="M67" s="35"/>
      <c r="N67" s="35">
        <f>'DEPENSES PROGRAMME I'!M67</f>
        <v>0</v>
      </c>
      <c r="O67" s="35">
        <f>'DEPENSES PROGRAMME II'!M67</f>
        <v>0</v>
      </c>
      <c r="P67" s="35">
        <f>'DEPENSES PROGRAMME III'!M67</f>
        <v>0</v>
      </c>
      <c r="Q67" s="35"/>
    </row>
    <row r="68" spans="2:17" x14ac:dyDescent="0.3">
      <c r="B68" s="27"/>
      <c r="C68" s="17"/>
      <c r="D68" s="3">
        <v>6217</v>
      </c>
      <c r="E68" s="3" t="s">
        <v>224</v>
      </c>
      <c r="F68" s="35">
        <f>'DEPENSES PROGRAMME I'!K68</f>
        <v>0</v>
      </c>
      <c r="G68" s="35">
        <f>'DEPENSES PROGRAMME II'!K68</f>
        <v>0</v>
      </c>
      <c r="H68" s="35">
        <f>'DEPENSES PROGRAMME III'!K68</f>
        <v>0</v>
      </c>
      <c r="I68" s="35"/>
      <c r="J68" s="35">
        <f>'DEPENSES PROGRAMME I'!L68</f>
        <v>0</v>
      </c>
      <c r="K68" s="35">
        <f>'DEPENSES PROGRAMME II'!L68</f>
        <v>0</v>
      </c>
      <c r="L68" s="35">
        <f>'DEPENSES PROGRAMME III'!L68</f>
        <v>0</v>
      </c>
      <c r="M68" s="35"/>
      <c r="N68" s="35">
        <f>'DEPENSES PROGRAMME I'!M68</f>
        <v>0</v>
      </c>
      <c r="O68" s="35">
        <f>'DEPENSES PROGRAMME II'!M68</f>
        <v>0</v>
      </c>
      <c r="P68" s="35">
        <f>'DEPENSES PROGRAMME III'!M68</f>
        <v>0</v>
      </c>
      <c r="Q68" s="35"/>
    </row>
    <row r="69" spans="2:17" x14ac:dyDescent="0.3">
      <c r="B69" s="27"/>
      <c r="C69" s="17"/>
      <c r="D69" s="3">
        <v>6218</v>
      </c>
      <c r="E69" s="3" t="s">
        <v>225</v>
      </c>
      <c r="F69" s="35">
        <f>'DEPENSES PROGRAMME I'!K69</f>
        <v>0</v>
      </c>
      <c r="G69" s="35">
        <f>'DEPENSES PROGRAMME II'!K69</f>
        <v>0</v>
      </c>
      <c r="H69" s="35">
        <f>'DEPENSES PROGRAMME III'!K69</f>
        <v>0</v>
      </c>
      <c r="I69" s="35"/>
      <c r="J69" s="35">
        <f>'DEPENSES PROGRAMME I'!L69</f>
        <v>0</v>
      </c>
      <c r="K69" s="35">
        <f>'DEPENSES PROGRAMME II'!L69</f>
        <v>0</v>
      </c>
      <c r="L69" s="35">
        <f>'DEPENSES PROGRAMME III'!L69</f>
        <v>0</v>
      </c>
      <c r="M69" s="35"/>
      <c r="N69" s="35">
        <f>'DEPENSES PROGRAMME I'!M69</f>
        <v>0</v>
      </c>
      <c r="O69" s="35">
        <f>'DEPENSES PROGRAMME II'!M69</f>
        <v>0</v>
      </c>
      <c r="P69" s="35">
        <f>'DEPENSES PROGRAMME III'!M69</f>
        <v>0</v>
      </c>
      <c r="Q69" s="35"/>
    </row>
    <row r="70" spans="2:17" s="10" customFormat="1" x14ac:dyDescent="0.3">
      <c r="B70" s="27"/>
      <c r="C70" s="17">
        <v>622</v>
      </c>
      <c r="D70" s="3"/>
      <c r="E70" s="17" t="s">
        <v>226</v>
      </c>
      <c r="F70" s="43">
        <f>SUM(F71:F76)</f>
        <v>0</v>
      </c>
      <c r="G70" s="43">
        <f t="shared" ref="G70" si="68">SUM(G71:G76)</f>
        <v>0</v>
      </c>
      <c r="H70" s="43">
        <f>SUM(H71:H76)</f>
        <v>0</v>
      </c>
      <c r="I70" s="43"/>
      <c r="J70" s="43">
        <f>SUM(J71:J76)</f>
        <v>0</v>
      </c>
      <c r="K70" s="43">
        <f t="shared" ref="K70" si="69">SUM(K71:K76)</f>
        <v>0</v>
      </c>
      <c r="L70" s="43">
        <f t="shared" ref="L70" si="70">SUM(L71:L76)</f>
        <v>0</v>
      </c>
      <c r="M70" s="43"/>
      <c r="N70" s="43">
        <f>SUM(N71:N76)</f>
        <v>0</v>
      </c>
      <c r="O70" s="43">
        <f t="shared" ref="O70" si="71">SUM(O71:O76)</f>
        <v>0</v>
      </c>
      <c r="P70" s="43">
        <f t="shared" ref="P70" si="72">SUM(P71:P76)</f>
        <v>0</v>
      </c>
      <c r="Q70" s="43"/>
    </row>
    <row r="71" spans="2:17" x14ac:dyDescent="0.3">
      <c r="B71" s="27"/>
      <c r="C71" s="17"/>
      <c r="D71" s="3">
        <v>6221</v>
      </c>
      <c r="E71" s="3" t="s">
        <v>227</v>
      </c>
      <c r="F71" s="35">
        <f>'DEPENSES PROGRAMME I'!K71</f>
        <v>0</v>
      </c>
      <c r="G71" s="35">
        <f>'DEPENSES PROGRAMME II'!K71</f>
        <v>0</v>
      </c>
      <c r="H71" s="35">
        <f>'DEPENSES PROGRAMME III'!K71</f>
        <v>0</v>
      </c>
      <c r="I71" s="35"/>
      <c r="J71" s="35">
        <f>'DEPENSES PROGRAMME I'!L71</f>
        <v>0</v>
      </c>
      <c r="K71" s="35">
        <f>'DEPENSES PROGRAMME II'!L71</f>
        <v>0</v>
      </c>
      <c r="L71" s="35">
        <f>'DEPENSES PROGRAMME III'!L71</f>
        <v>0</v>
      </c>
      <c r="M71" s="35"/>
      <c r="N71" s="35">
        <f>'DEPENSES PROGRAMME I'!M71</f>
        <v>0</v>
      </c>
      <c r="O71" s="35">
        <f>'DEPENSES PROGRAMME II'!M71</f>
        <v>0</v>
      </c>
      <c r="P71" s="35">
        <f>'DEPENSES PROGRAMME III'!M71</f>
        <v>0</v>
      </c>
      <c r="Q71" s="35"/>
    </row>
    <row r="72" spans="2:17" x14ac:dyDescent="0.3">
      <c r="B72" s="27"/>
      <c r="C72" s="17"/>
      <c r="D72" s="3">
        <v>6222</v>
      </c>
      <c r="E72" s="3" t="s">
        <v>228</v>
      </c>
      <c r="F72" s="35">
        <f>'DEPENSES PROGRAMME I'!K72</f>
        <v>0</v>
      </c>
      <c r="G72" s="35">
        <f>'DEPENSES PROGRAMME II'!K72</f>
        <v>0</v>
      </c>
      <c r="H72" s="35">
        <f>'DEPENSES PROGRAMME III'!K72</f>
        <v>0</v>
      </c>
      <c r="I72" s="35"/>
      <c r="J72" s="35">
        <f>'DEPENSES PROGRAMME I'!L72</f>
        <v>0</v>
      </c>
      <c r="K72" s="35">
        <f>'DEPENSES PROGRAMME II'!L72</f>
        <v>0</v>
      </c>
      <c r="L72" s="35">
        <f>'DEPENSES PROGRAMME III'!L72</f>
        <v>0</v>
      </c>
      <c r="M72" s="35"/>
      <c r="N72" s="35">
        <f>'DEPENSES PROGRAMME I'!M72</f>
        <v>0</v>
      </c>
      <c r="O72" s="35">
        <f>'DEPENSES PROGRAMME II'!M72</f>
        <v>0</v>
      </c>
      <c r="P72" s="35">
        <f>'DEPENSES PROGRAMME III'!M72</f>
        <v>0</v>
      </c>
      <c r="Q72" s="35"/>
    </row>
    <row r="73" spans="2:17" x14ac:dyDescent="0.3">
      <c r="B73" s="27"/>
      <c r="C73" s="17"/>
      <c r="D73" s="3">
        <v>6223</v>
      </c>
      <c r="E73" s="3" t="s">
        <v>229</v>
      </c>
      <c r="F73" s="35">
        <f>'DEPENSES PROGRAMME I'!K73</f>
        <v>0</v>
      </c>
      <c r="G73" s="35">
        <f>'DEPENSES PROGRAMME II'!K73</f>
        <v>0</v>
      </c>
      <c r="H73" s="35">
        <f>'DEPENSES PROGRAMME III'!K73</f>
        <v>0</v>
      </c>
      <c r="I73" s="35"/>
      <c r="J73" s="35">
        <f>'DEPENSES PROGRAMME I'!L73</f>
        <v>0</v>
      </c>
      <c r="K73" s="35">
        <f>'DEPENSES PROGRAMME II'!L73</f>
        <v>0</v>
      </c>
      <c r="L73" s="35">
        <f>'DEPENSES PROGRAMME III'!L73</f>
        <v>0</v>
      </c>
      <c r="M73" s="35"/>
      <c r="N73" s="35">
        <f>'DEPENSES PROGRAMME I'!M73</f>
        <v>0</v>
      </c>
      <c r="O73" s="35">
        <f>'DEPENSES PROGRAMME II'!M73</f>
        <v>0</v>
      </c>
      <c r="P73" s="35">
        <f>'DEPENSES PROGRAMME III'!M73</f>
        <v>0</v>
      </c>
      <c r="Q73" s="35"/>
    </row>
    <row r="74" spans="2:17" x14ac:dyDescent="0.3">
      <c r="B74" s="27"/>
      <c r="C74" s="17"/>
      <c r="D74" s="3">
        <v>6224</v>
      </c>
      <c r="E74" s="3" t="s">
        <v>230</v>
      </c>
      <c r="F74" s="35">
        <f>'DEPENSES PROGRAMME I'!K74</f>
        <v>0</v>
      </c>
      <c r="G74" s="35">
        <f>'DEPENSES PROGRAMME II'!K74</f>
        <v>0</v>
      </c>
      <c r="H74" s="35">
        <f>'DEPENSES PROGRAMME III'!K74</f>
        <v>0</v>
      </c>
      <c r="I74" s="35"/>
      <c r="J74" s="35">
        <f>'DEPENSES PROGRAMME I'!L74</f>
        <v>0</v>
      </c>
      <c r="K74" s="35">
        <f>'DEPENSES PROGRAMME II'!L74</f>
        <v>0</v>
      </c>
      <c r="L74" s="35">
        <f>'DEPENSES PROGRAMME III'!L74</f>
        <v>0</v>
      </c>
      <c r="M74" s="35"/>
      <c r="N74" s="35">
        <f>'DEPENSES PROGRAMME I'!M74</f>
        <v>0</v>
      </c>
      <c r="O74" s="35">
        <f>'DEPENSES PROGRAMME II'!M74</f>
        <v>0</v>
      </c>
      <c r="P74" s="35">
        <f>'DEPENSES PROGRAMME III'!M74</f>
        <v>0</v>
      </c>
      <c r="Q74" s="35"/>
    </row>
    <row r="75" spans="2:17" x14ac:dyDescent="0.3">
      <c r="B75" s="27"/>
      <c r="C75" s="17"/>
      <c r="D75" s="3">
        <v>6225</v>
      </c>
      <c r="E75" s="3" t="s">
        <v>231</v>
      </c>
      <c r="F75" s="35">
        <f>'DEPENSES PROGRAMME I'!K75</f>
        <v>0</v>
      </c>
      <c r="G75" s="35">
        <f>'DEPENSES PROGRAMME II'!K75</f>
        <v>0</v>
      </c>
      <c r="H75" s="35">
        <f>'DEPENSES PROGRAMME III'!K75</f>
        <v>0</v>
      </c>
      <c r="I75" s="35"/>
      <c r="J75" s="35">
        <f>'DEPENSES PROGRAMME I'!L75</f>
        <v>0</v>
      </c>
      <c r="K75" s="35">
        <f>'DEPENSES PROGRAMME II'!L75</f>
        <v>0</v>
      </c>
      <c r="L75" s="35">
        <f>'DEPENSES PROGRAMME III'!L75</f>
        <v>0</v>
      </c>
      <c r="M75" s="35"/>
      <c r="N75" s="35">
        <f>'DEPENSES PROGRAMME I'!M75</f>
        <v>0</v>
      </c>
      <c r="O75" s="35">
        <f>'DEPENSES PROGRAMME II'!M75</f>
        <v>0</v>
      </c>
      <c r="P75" s="35">
        <f>'DEPENSES PROGRAMME III'!M75</f>
        <v>0</v>
      </c>
      <c r="Q75" s="35"/>
    </row>
    <row r="76" spans="2:17" x14ac:dyDescent="0.3">
      <c r="B76" s="27"/>
      <c r="C76" s="17"/>
      <c r="D76" s="3">
        <v>6226</v>
      </c>
      <c r="E76" s="3" t="s">
        <v>232</v>
      </c>
      <c r="F76" s="35">
        <f>'DEPENSES PROGRAMME I'!K76</f>
        <v>0</v>
      </c>
      <c r="G76" s="35">
        <f>'DEPENSES PROGRAMME II'!K76</f>
        <v>0</v>
      </c>
      <c r="H76" s="35">
        <f>'DEPENSES PROGRAMME III'!K76</f>
        <v>0</v>
      </c>
      <c r="I76" s="35"/>
      <c r="J76" s="35">
        <f>'DEPENSES PROGRAMME I'!L76</f>
        <v>0</v>
      </c>
      <c r="K76" s="35">
        <f>'DEPENSES PROGRAMME II'!L76</f>
        <v>0</v>
      </c>
      <c r="L76" s="35">
        <f>'DEPENSES PROGRAMME III'!L76</f>
        <v>0</v>
      </c>
      <c r="M76" s="35"/>
      <c r="N76" s="35">
        <f>'DEPENSES PROGRAMME I'!M76</f>
        <v>0</v>
      </c>
      <c r="O76" s="35">
        <f>'DEPENSES PROGRAMME II'!M76</f>
        <v>0</v>
      </c>
      <c r="P76" s="35">
        <f>'DEPENSES PROGRAMME III'!M76</f>
        <v>0</v>
      </c>
      <c r="Q76" s="35"/>
    </row>
    <row r="77" spans="2:17" s="10" customFormat="1" x14ac:dyDescent="0.3">
      <c r="B77" s="27"/>
      <c r="C77" s="17">
        <v>623</v>
      </c>
      <c r="D77" s="3"/>
      <c r="E77" s="17" t="s">
        <v>233</v>
      </c>
      <c r="F77" s="43">
        <f>SUM(F78:F82)</f>
        <v>0</v>
      </c>
      <c r="G77" s="43">
        <f t="shared" ref="G77:H77" si="73">SUM(G78:G82)</f>
        <v>0</v>
      </c>
      <c r="H77" s="43">
        <f t="shared" si="73"/>
        <v>0</v>
      </c>
      <c r="I77" s="43"/>
      <c r="J77" s="43">
        <f>SUM(J78:J82)</f>
        <v>0</v>
      </c>
      <c r="K77" s="43">
        <f t="shared" ref="K77" si="74">SUM(K78:K82)</f>
        <v>0</v>
      </c>
      <c r="L77" s="43">
        <f t="shared" ref="L77" si="75">SUM(L78:L82)</f>
        <v>0</v>
      </c>
      <c r="M77" s="43"/>
      <c r="N77" s="43">
        <f>SUM(N78:N82)</f>
        <v>0</v>
      </c>
      <c r="O77" s="43">
        <f t="shared" ref="O77" si="76">SUM(O78:O82)</f>
        <v>0</v>
      </c>
      <c r="P77" s="43">
        <f t="shared" ref="P77" si="77">SUM(P78:P82)</f>
        <v>0</v>
      </c>
      <c r="Q77" s="43"/>
    </row>
    <row r="78" spans="2:17" x14ac:dyDescent="0.3">
      <c r="B78" s="27"/>
      <c r="C78" s="17"/>
      <c r="D78" s="3">
        <v>6231</v>
      </c>
      <c r="E78" s="3" t="s">
        <v>234</v>
      </c>
      <c r="F78" s="35">
        <f>'DEPENSES PROGRAMME I'!K78</f>
        <v>0</v>
      </c>
      <c r="G78" s="35">
        <f>'DEPENSES PROGRAMME II'!K78</f>
        <v>0</v>
      </c>
      <c r="H78" s="35">
        <f>'DEPENSES PROGRAMME III'!K78</f>
        <v>0</v>
      </c>
      <c r="I78" s="35"/>
      <c r="J78" s="35">
        <f>'DEPENSES PROGRAMME I'!L78</f>
        <v>0</v>
      </c>
      <c r="K78" s="35">
        <f>'DEPENSES PROGRAMME II'!L78</f>
        <v>0</v>
      </c>
      <c r="L78" s="35">
        <f>'DEPENSES PROGRAMME III'!L78</f>
        <v>0</v>
      </c>
      <c r="M78" s="35"/>
      <c r="N78" s="35">
        <f>'DEPENSES PROGRAMME I'!M78</f>
        <v>0</v>
      </c>
      <c r="O78" s="35">
        <f>'DEPENSES PROGRAMME II'!M78</f>
        <v>0</v>
      </c>
      <c r="P78" s="35">
        <f>'DEPENSES PROGRAMME III'!M78</f>
        <v>0</v>
      </c>
      <c r="Q78" s="35"/>
    </row>
    <row r="79" spans="2:17" x14ac:dyDescent="0.3">
      <c r="B79" s="27"/>
      <c r="C79" s="17"/>
      <c r="D79" s="3">
        <v>6232</v>
      </c>
      <c r="E79" s="3" t="s">
        <v>235</v>
      </c>
      <c r="F79" s="35">
        <f>'DEPENSES PROGRAMME I'!K79</f>
        <v>0</v>
      </c>
      <c r="G79" s="35">
        <f>'DEPENSES PROGRAMME II'!K79</f>
        <v>0</v>
      </c>
      <c r="H79" s="35">
        <f>'DEPENSES PROGRAMME III'!K79</f>
        <v>0</v>
      </c>
      <c r="I79" s="35"/>
      <c r="J79" s="35">
        <f>'DEPENSES PROGRAMME I'!L79</f>
        <v>0</v>
      </c>
      <c r="K79" s="35">
        <f>'DEPENSES PROGRAMME II'!L79</f>
        <v>0</v>
      </c>
      <c r="L79" s="35">
        <f>'DEPENSES PROGRAMME III'!L79</f>
        <v>0</v>
      </c>
      <c r="M79" s="35"/>
      <c r="N79" s="35">
        <f>'DEPENSES PROGRAMME I'!M79</f>
        <v>0</v>
      </c>
      <c r="O79" s="35">
        <f>'DEPENSES PROGRAMME II'!M79</f>
        <v>0</v>
      </c>
      <c r="P79" s="35">
        <f>'DEPENSES PROGRAMME III'!M79</f>
        <v>0</v>
      </c>
      <c r="Q79" s="35"/>
    </row>
    <row r="80" spans="2:17" x14ac:dyDescent="0.3">
      <c r="B80" s="27"/>
      <c r="C80" s="17"/>
      <c r="D80" s="3">
        <v>6233</v>
      </c>
      <c r="E80" s="3" t="s">
        <v>236</v>
      </c>
      <c r="F80" s="35">
        <f>'DEPENSES PROGRAMME I'!K80</f>
        <v>0</v>
      </c>
      <c r="G80" s="35">
        <f>'DEPENSES PROGRAMME II'!K80</f>
        <v>0</v>
      </c>
      <c r="H80" s="35">
        <f>'DEPENSES PROGRAMME III'!K80</f>
        <v>0</v>
      </c>
      <c r="I80" s="35"/>
      <c r="J80" s="35">
        <f>'DEPENSES PROGRAMME I'!L80</f>
        <v>0</v>
      </c>
      <c r="K80" s="35">
        <f>'DEPENSES PROGRAMME II'!L80</f>
        <v>0</v>
      </c>
      <c r="L80" s="35">
        <f>'DEPENSES PROGRAMME III'!L80</f>
        <v>0</v>
      </c>
      <c r="M80" s="35"/>
      <c r="N80" s="35">
        <f>'DEPENSES PROGRAMME I'!M80</f>
        <v>0</v>
      </c>
      <c r="O80" s="35">
        <f>'DEPENSES PROGRAMME II'!M80</f>
        <v>0</v>
      </c>
      <c r="P80" s="35">
        <f>'DEPENSES PROGRAMME III'!M80</f>
        <v>0</v>
      </c>
      <c r="Q80" s="35"/>
    </row>
    <row r="81" spans="2:17" x14ac:dyDescent="0.3">
      <c r="B81" s="27"/>
      <c r="C81" s="17"/>
      <c r="D81" s="3">
        <v>6234</v>
      </c>
      <c r="E81" s="3" t="s">
        <v>237</v>
      </c>
      <c r="F81" s="35">
        <f>'DEPENSES PROGRAMME I'!K81</f>
        <v>0</v>
      </c>
      <c r="G81" s="35">
        <f>'DEPENSES PROGRAMME II'!K81</f>
        <v>0</v>
      </c>
      <c r="H81" s="35">
        <f>'DEPENSES PROGRAMME III'!K81</f>
        <v>0</v>
      </c>
      <c r="I81" s="35"/>
      <c r="J81" s="35">
        <f>'DEPENSES PROGRAMME I'!L81</f>
        <v>0</v>
      </c>
      <c r="K81" s="35">
        <f>'DEPENSES PROGRAMME II'!L81</f>
        <v>0</v>
      </c>
      <c r="L81" s="35">
        <f>'DEPENSES PROGRAMME III'!L81</f>
        <v>0</v>
      </c>
      <c r="M81" s="35"/>
      <c r="N81" s="35">
        <f>'DEPENSES PROGRAMME I'!M81</f>
        <v>0</v>
      </c>
      <c r="O81" s="35">
        <f>'DEPENSES PROGRAMME II'!M81</f>
        <v>0</v>
      </c>
      <c r="P81" s="35">
        <f>'DEPENSES PROGRAMME III'!M81</f>
        <v>0</v>
      </c>
      <c r="Q81" s="35"/>
    </row>
    <row r="82" spans="2:17" x14ac:dyDescent="0.3">
      <c r="B82" s="27"/>
      <c r="C82" s="17"/>
      <c r="D82" s="3">
        <v>6235</v>
      </c>
      <c r="E82" s="3" t="s">
        <v>238</v>
      </c>
      <c r="F82" s="35">
        <f>'DEPENSES PROGRAMME I'!K82</f>
        <v>0</v>
      </c>
      <c r="G82" s="35">
        <f>'DEPENSES PROGRAMME II'!K82</f>
        <v>0</v>
      </c>
      <c r="H82" s="35">
        <f>'DEPENSES PROGRAMME III'!K82</f>
        <v>0</v>
      </c>
      <c r="I82" s="35"/>
      <c r="J82" s="35">
        <f>'DEPENSES PROGRAMME I'!L82</f>
        <v>0</v>
      </c>
      <c r="K82" s="35">
        <f>'DEPENSES PROGRAMME II'!L82</f>
        <v>0</v>
      </c>
      <c r="L82" s="35">
        <f>'DEPENSES PROGRAMME III'!L82</f>
        <v>0</v>
      </c>
      <c r="M82" s="35"/>
      <c r="N82" s="35">
        <f>'DEPENSES PROGRAMME I'!M82</f>
        <v>0</v>
      </c>
      <c r="O82" s="35">
        <f>'DEPENSES PROGRAMME II'!M82</f>
        <v>0</v>
      </c>
      <c r="P82" s="35">
        <f>'DEPENSES PROGRAMME III'!M82</f>
        <v>0</v>
      </c>
      <c r="Q82" s="35"/>
    </row>
    <row r="83" spans="2:17" s="10" customFormat="1" x14ac:dyDescent="0.3">
      <c r="B83" s="27"/>
      <c r="C83" s="17">
        <v>624</v>
      </c>
      <c r="D83" s="3"/>
      <c r="E83" s="17" t="s">
        <v>239</v>
      </c>
      <c r="F83" s="43">
        <f>SUM(F84:F86)</f>
        <v>0</v>
      </c>
      <c r="G83" s="43">
        <f t="shared" ref="G83:H83" si="78">SUM(G84:G86)</f>
        <v>0</v>
      </c>
      <c r="H83" s="43">
        <f t="shared" si="78"/>
        <v>0</v>
      </c>
      <c r="I83" s="43"/>
      <c r="J83" s="43">
        <f>SUM(J84:J86)</f>
        <v>0</v>
      </c>
      <c r="K83" s="43">
        <f t="shared" ref="K83" si="79">SUM(K84:K86)</f>
        <v>0</v>
      </c>
      <c r="L83" s="43">
        <f t="shared" ref="L83" si="80">SUM(L84:L86)</f>
        <v>0</v>
      </c>
      <c r="M83" s="43"/>
      <c r="N83" s="43">
        <f>SUM(N84:N86)</f>
        <v>0</v>
      </c>
      <c r="O83" s="43">
        <f t="shared" ref="O83" si="81">SUM(O84:O86)</f>
        <v>0</v>
      </c>
      <c r="P83" s="43">
        <f t="shared" ref="P83" si="82">SUM(P84:P86)</f>
        <v>0</v>
      </c>
      <c r="Q83" s="43"/>
    </row>
    <row r="84" spans="2:17" x14ac:dyDescent="0.3">
      <c r="B84" s="27"/>
      <c r="C84" s="17"/>
      <c r="D84" s="3">
        <v>6241</v>
      </c>
      <c r="E84" s="3" t="s">
        <v>240</v>
      </c>
      <c r="F84" s="35">
        <f>'DEPENSES PROGRAMME I'!K84</f>
        <v>0</v>
      </c>
      <c r="G84" s="35">
        <f>'DEPENSES PROGRAMME II'!K84</f>
        <v>0</v>
      </c>
      <c r="H84" s="35">
        <f>'DEPENSES PROGRAMME III'!K84</f>
        <v>0</v>
      </c>
      <c r="I84" s="35"/>
      <c r="J84" s="35">
        <f>'DEPENSES PROGRAMME I'!L84</f>
        <v>0</v>
      </c>
      <c r="K84" s="35">
        <f>'DEPENSES PROGRAMME II'!L84</f>
        <v>0</v>
      </c>
      <c r="L84" s="35">
        <f>'DEPENSES PROGRAMME III'!L84</f>
        <v>0</v>
      </c>
      <c r="M84" s="35"/>
      <c r="N84" s="35">
        <f>'DEPENSES PROGRAMME I'!M84</f>
        <v>0</v>
      </c>
      <c r="O84" s="35">
        <f>'DEPENSES PROGRAMME II'!M84</f>
        <v>0</v>
      </c>
      <c r="P84" s="35">
        <f>'DEPENSES PROGRAMME III'!M84</f>
        <v>0</v>
      </c>
      <c r="Q84" s="35"/>
    </row>
    <row r="85" spans="2:17" x14ac:dyDescent="0.3">
      <c r="B85" s="27"/>
      <c r="C85" s="17"/>
      <c r="D85" s="3">
        <v>6242</v>
      </c>
      <c r="E85" s="3" t="s">
        <v>241</v>
      </c>
      <c r="F85" s="35">
        <f>'DEPENSES PROGRAMME I'!K85</f>
        <v>0</v>
      </c>
      <c r="G85" s="35">
        <f>'DEPENSES PROGRAMME II'!K85</f>
        <v>0</v>
      </c>
      <c r="H85" s="35">
        <f>'DEPENSES PROGRAMME III'!K85</f>
        <v>0</v>
      </c>
      <c r="I85" s="35"/>
      <c r="J85" s="35">
        <f>'DEPENSES PROGRAMME I'!L85</f>
        <v>0</v>
      </c>
      <c r="K85" s="35">
        <f>'DEPENSES PROGRAMME II'!L85</f>
        <v>0</v>
      </c>
      <c r="L85" s="35">
        <f>'DEPENSES PROGRAMME III'!L85</f>
        <v>0</v>
      </c>
      <c r="M85" s="35"/>
      <c r="N85" s="35">
        <f>'DEPENSES PROGRAMME I'!M85</f>
        <v>0</v>
      </c>
      <c r="O85" s="35">
        <f>'DEPENSES PROGRAMME II'!M85</f>
        <v>0</v>
      </c>
      <c r="P85" s="35">
        <f>'DEPENSES PROGRAMME III'!M85</f>
        <v>0</v>
      </c>
      <c r="Q85" s="35"/>
    </row>
    <row r="86" spans="2:17" x14ac:dyDescent="0.3">
      <c r="B86" s="27"/>
      <c r="C86" s="17"/>
      <c r="D86" s="3">
        <v>6243</v>
      </c>
      <c r="E86" s="3" t="s">
        <v>242</v>
      </c>
      <c r="F86" s="35">
        <f>'DEPENSES PROGRAMME I'!K86</f>
        <v>0</v>
      </c>
      <c r="G86" s="35">
        <f>'DEPENSES PROGRAMME II'!K86</f>
        <v>0</v>
      </c>
      <c r="H86" s="35">
        <f>'DEPENSES PROGRAMME III'!K86</f>
        <v>0</v>
      </c>
      <c r="I86" s="35"/>
      <c r="J86" s="35">
        <f>'DEPENSES PROGRAMME I'!L86</f>
        <v>0</v>
      </c>
      <c r="K86" s="35">
        <f>'DEPENSES PROGRAMME II'!L86</f>
        <v>0</v>
      </c>
      <c r="L86" s="35">
        <f>'DEPENSES PROGRAMME III'!L86</f>
        <v>0</v>
      </c>
      <c r="M86" s="35"/>
      <c r="N86" s="35">
        <f>'DEPENSES PROGRAMME I'!M86</f>
        <v>0</v>
      </c>
      <c r="O86" s="35">
        <f>'DEPENSES PROGRAMME II'!M86</f>
        <v>0</v>
      </c>
      <c r="P86" s="35">
        <f>'DEPENSES PROGRAMME III'!M86</f>
        <v>0</v>
      </c>
      <c r="Q86" s="35"/>
    </row>
    <row r="87" spans="2:17" s="10" customFormat="1" x14ac:dyDescent="0.3">
      <c r="B87" s="27"/>
      <c r="C87" s="27">
        <v>625</v>
      </c>
      <c r="D87" s="3"/>
      <c r="E87" s="17" t="s">
        <v>244</v>
      </c>
      <c r="F87" s="43">
        <f>SUM(F88)</f>
        <v>0</v>
      </c>
      <c r="G87" s="43">
        <f t="shared" ref="G87:H87" si="83">SUM(G88)</f>
        <v>0</v>
      </c>
      <c r="H87" s="43">
        <f t="shared" si="83"/>
        <v>0</v>
      </c>
      <c r="I87" s="43"/>
      <c r="J87" s="43">
        <f>SUM(J88)</f>
        <v>0</v>
      </c>
      <c r="K87" s="43">
        <f t="shared" ref="K87" si="84">SUM(K88)</f>
        <v>0</v>
      </c>
      <c r="L87" s="43">
        <f t="shared" ref="L87" si="85">SUM(L88)</f>
        <v>0</v>
      </c>
      <c r="M87" s="43"/>
      <c r="N87" s="43">
        <f>SUM(N88)</f>
        <v>0</v>
      </c>
      <c r="O87" s="43">
        <f t="shared" ref="O87" si="86">SUM(O88)</f>
        <v>0</v>
      </c>
      <c r="P87" s="43">
        <f t="shared" ref="P87" si="87">SUM(P88)</f>
        <v>0</v>
      </c>
      <c r="Q87" s="43"/>
    </row>
    <row r="88" spans="2:17" x14ac:dyDescent="0.3">
      <c r="B88" s="27"/>
      <c r="C88" s="17"/>
      <c r="D88" s="3">
        <v>6250</v>
      </c>
      <c r="E88" s="3" t="s">
        <v>243</v>
      </c>
      <c r="F88" s="35">
        <f>'DEPENSES PROGRAMME I'!K88</f>
        <v>0</v>
      </c>
      <c r="G88" s="35">
        <f>'DEPENSES PROGRAMME II'!K88</f>
        <v>0</v>
      </c>
      <c r="H88" s="35">
        <f>'DEPENSES PROGRAMME III'!K88</f>
        <v>0</v>
      </c>
      <c r="I88" s="35"/>
      <c r="J88" s="35">
        <f>'DEPENSES PROGRAMME I'!L88</f>
        <v>0</v>
      </c>
      <c r="K88" s="35">
        <f>'DEPENSES PROGRAMME II'!L88</f>
        <v>0</v>
      </c>
      <c r="L88" s="35">
        <f>'DEPENSES PROGRAMME III'!L88</f>
        <v>0</v>
      </c>
      <c r="M88" s="35"/>
      <c r="N88" s="35">
        <f>'DEPENSES PROGRAMME I'!M88</f>
        <v>0</v>
      </c>
      <c r="O88" s="35">
        <f>'DEPENSES PROGRAMME II'!M88</f>
        <v>0</v>
      </c>
      <c r="P88" s="35">
        <f>'DEPENSES PROGRAMME III'!M88</f>
        <v>0</v>
      </c>
      <c r="Q88" s="35"/>
    </row>
    <row r="89" spans="2:17" s="10" customFormat="1" x14ac:dyDescent="0.3">
      <c r="B89" s="27"/>
      <c r="C89" s="27">
        <v>626</v>
      </c>
      <c r="D89" s="3"/>
      <c r="E89" s="17" t="s">
        <v>245</v>
      </c>
      <c r="F89" s="43">
        <f>SUM(F90:F95)</f>
        <v>0</v>
      </c>
      <c r="G89" s="43">
        <f t="shared" ref="G89:H89" si="88">SUM(G90:G95)</f>
        <v>0</v>
      </c>
      <c r="H89" s="43">
        <f t="shared" si="88"/>
        <v>0</v>
      </c>
      <c r="I89" s="43"/>
      <c r="J89" s="43">
        <f>SUM(J90:J95)</f>
        <v>0</v>
      </c>
      <c r="K89" s="43">
        <f t="shared" ref="K89" si="89">SUM(K90:K95)</f>
        <v>0</v>
      </c>
      <c r="L89" s="43">
        <f t="shared" ref="L89" si="90">SUM(L90:L95)</f>
        <v>0</v>
      </c>
      <c r="M89" s="43"/>
      <c r="N89" s="43">
        <f>SUM(N90:N95)</f>
        <v>0</v>
      </c>
      <c r="O89" s="43">
        <f t="shared" ref="O89" si="91">SUM(O90:O95)</f>
        <v>0</v>
      </c>
      <c r="P89" s="43">
        <f t="shared" ref="P89" si="92">SUM(P90:P95)</f>
        <v>0</v>
      </c>
      <c r="Q89" s="43"/>
    </row>
    <row r="90" spans="2:17" x14ac:dyDescent="0.3">
      <c r="B90" s="27"/>
      <c r="C90" s="17"/>
      <c r="D90" s="3">
        <v>6261</v>
      </c>
      <c r="E90" s="3" t="s">
        <v>246</v>
      </c>
      <c r="F90" s="35">
        <f>'DEPENSES PROGRAMME I'!K90</f>
        <v>0</v>
      </c>
      <c r="G90" s="35">
        <f>'DEPENSES PROGRAMME II'!K90</f>
        <v>0</v>
      </c>
      <c r="H90" s="35">
        <f>'DEPENSES PROGRAMME III'!K90</f>
        <v>0</v>
      </c>
      <c r="I90" s="35"/>
      <c r="J90" s="35">
        <f>'DEPENSES PROGRAMME I'!L90</f>
        <v>0</v>
      </c>
      <c r="K90" s="35">
        <f>'DEPENSES PROGRAMME II'!L90</f>
        <v>0</v>
      </c>
      <c r="L90" s="35">
        <f>'DEPENSES PROGRAMME III'!L90</f>
        <v>0</v>
      </c>
      <c r="M90" s="35"/>
      <c r="N90" s="35">
        <f>'DEPENSES PROGRAMME I'!M90</f>
        <v>0</v>
      </c>
      <c r="O90" s="35">
        <f>'DEPENSES PROGRAMME II'!M90</f>
        <v>0</v>
      </c>
      <c r="P90" s="35">
        <f>'DEPENSES PROGRAMME III'!M90</f>
        <v>0</v>
      </c>
      <c r="Q90" s="35"/>
    </row>
    <row r="91" spans="2:17" x14ac:dyDescent="0.3">
      <c r="B91" s="27"/>
      <c r="C91" s="17"/>
      <c r="D91" s="3">
        <v>6262</v>
      </c>
      <c r="E91" s="3" t="s">
        <v>247</v>
      </c>
      <c r="F91" s="35">
        <f>'DEPENSES PROGRAMME I'!K91</f>
        <v>0</v>
      </c>
      <c r="G91" s="35">
        <f>'DEPENSES PROGRAMME II'!K91</f>
        <v>0</v>
      </c>
      <c r="H91" s="35">
        <f>'DEPENSES PROGRAMME III'!K91</f>
        <v>0</v>
      </c>
      <c r="I91" s="35"/>
      <c r="J91" s="35">
        <f>'DEPENSES PROGRAMME I'!L91</f>
        <v>0</v>
      </c>
      <c r="K91" s="35">
        <f>'DEPENSES PROGRAMME II'!L91</f>
        <v>0</v>
      </c>
      <c r="L91" s="35">
        <f>'DEPENSES PROGRAMME III'!L91</f>
        <v>0</v>
      </c>
      <c r="M91" s="35"/>
      <c r="N91" s="35">
        <f>'DEPENSES PROGRAMME I'!M91</f>
        <v>0</v>
      </c>
      <c r="O91" s="35">
        <f>'DEPENSES PROGRAMME II'!M91</f>
        <v>0</v>
      </c>
      <c r="P91" s="35">
        <f>'DEPENSES PROGRAMME III'!M91</f>
        <v>0</v>
      </c>
      <c r="Q91" s="35"/>
    </row>
    <row r="92" spans="2:17" x14ac:dyDescent="0.3">
      <c r="B92" s="27"/>
      <c r="C92" s="17"/>
      <c r="D92" s="3">
        <v>6263</v>
      </c>
      <c r="E92" s="3" t="s">
        <v>248</v>
      </c>
      <c r="F92" s="35">
        <f>'DEPENSES PROGRAMME I'!K92</f>
        <v>0</v>
      </c>
      <c r="G92" s="35">
        <f>'DEPENSES PROGRAMME II'!K92</f>
        <v>0</v>
      </c>
      <c r="H92" s="35">
        <f>'DEPENSES PROGRAMME III'!K92</f>
        <v>0</v>
      </c>
      <c r="I92" s="35"/>
      <c r="J92" s="35">
        <f>'DEPENSES PROGRAMME I'!L92</f>
        <v>0</v>
      </c>
      <c r="K92" s="35">
        <f>'DEPENSES PROGRAMME II'!L92</f>
        <v>0</v>
      </c>
      <c r="L92" s="35">
        <f>'DEPENSES PROGRAMME III'!L92</f>
        <v>0</v>
      </c>
      <c r="M92" s="35"/>
      <c r="N92" s="35">
        <f>'DEPENSES PROGRAMME I'!M92</f>
        <v>0</v>
      </c>
      <c r="O92" s="35">
        <f>'DEPENSES PROGRAMME II'!M92</f>
        <v>0</v>
      </c>
      <c r="P92" s="35">
        <f>'DEPENSES PROGRAMME III'!M92</f>
        <v>0</v>
      </c>
      <c r="Q92" s="35"/>
    </row>
    <row r="93" spans="2:17" x14ac:dyDescent="0.3">
      <c r="B93" s="27"/>
      <c r="C93" s="17"/>
      <c r="D93" s="3">
        <v>6264</v>
      </c>
      <c r="E93" s="3" t="s">
        <v>249</v>
      </c>
      <c r="F93" s="35">
        <f>'DEPENSES PROGRAMME I'!K93</f>
        <v>0</v>
      </c>
      <c r="G93" s="35">
        <f>'DEPENSES PROGRAMME II'!K93</f>
        <v>0</v>
      </c>
      <c r="H93" s="35">
        <f>'DEPENSES PROGRAMME III'!K93</f>
        <v>0</v>
      </c>
      <c r="I93" s="35"/>
      <c r="J93" s="35">
        <f>'DEPENSES PROGRAMME I'!L93</f>
        <v>0</v>
      </c>
      <c r="K93" s="35">
        <f>'DEPENSES PROGRAMME II'!L93</f>
        <v>0</v>
      </c>
      <c r="L93" s="35">
        <f>'DEPENSES PROGRAMME III'!L93</f>
        <v>0</v>
      </c>
      <c r="M93" s="35"/>
      <c r="N93" s="35">
        <f>'DEPENSES PROGRAMME I'!M93</f>
        <v>0</v>
      </c>
      <c r="O93" s="35">
        <f>'DEPENSES PROGRAMME II'!M93</f>
        <v>0</v>
      </c>
      <c r="P93" s="35">
        <f>'DEPENSES PROGRAMME III'!M93</f>
        <v>0</v>
      </c>
      <c r="Q93" s="35"/>
    </row>
    <row r="94" spans="2:17" x14ac:dyDescent="0.3">
      <c r="B94" s="27"/>
      <c r="C94" s="17"/>
      <c r="D94" s="3">
        <v>6265</v>
      </c>
      <c r="E94" s="3" t="s">
        <v>250</v>
      </c>
      <c r="F94" s="35">
        <f>'DEPENSES PROGRAMME I'!K94</f>
        <v>0</v>
      </c>
      <c r="G94" s="35">
        <f>'DEPENSES PROGRAMME II'!K94</f>
        <v>0</v>
      </c>
      <c r="H94" s="35">
        <f>'DEPENSES PROGRAMME III'!K94</f>
        <v>0</v>
      </c>
      <c r="I94" s="35"/>
      <c r="J94" s="35">
        <f>'DEPENSES PROGRAMME I'!L94</f>
        <v>0</v>
      </c>
      <c r="K94" s="35">
        <f>'DEPENSES PROGRAMME II'!L94</f>
        <v>0</v>
      </c>
      <c r="L94" s="35">
        <f>'DEPENSES PROGRAMME III'!L94</f>
        <v>0</v>
      </c>
      <c r="M94" s="35"/>
      <c r="N94" s="35">
        <f>'DEPENSES PROGRAMME I'!M94</f>
        <v>0</v>
      </c>
      <c r="O94" s="35">
        <f>'DEPENSES PROGRAMME II'!M94</f>
        <v>0</v>
      </c>
      <c r="P94" s="35">
        <f>'DEPENSES PROGRAMME III'!M94</f>
        <v>0</v>
      </c>
      <c r="Q94" s="35"/>
    </row>
    <row r="95" spans="2:17" x14ac:dyDescent="0.3">
      <c r="B95" s="27"/>
      <c r="C95" s="17"/>
      <c r="D95" s="3">
        <v>6268</v>
      </c>
      <c r="E95" s="3" t="s">
        <v>95</v>
      </c>
      <c r="F95" s="35">
        <f>'DEPENSES PROGRAMME I'!K95</f>
        <v>0</v>
      </c>
      <c r="G95" s="35">
        <f>'DEPENSES PROGRAMME II'!K95</f>
        <v>0</v>
      </c>
      <c r="H95" s="35">
        <f>'DEPENSES PROGRAMME III'!K95</f>
        <v>0</v>
      </c>
      <c r="I95" s="35"/>
      <c r="J95" s="35">
        <f>'DEPENSES PROGRAMME I'!L95</f>
        <v>0</v>
      </c>
      <c r="K95" s="35">
        <f>'DEPENSES PROGRAMME II'!L95</f>
        <v>0</v>
      </c>
      <c r="L95" s="35">
        <f>'DEPENSES PROGRAMME III'!L95</f>
        <v>0</v>
      </c>
      <c r="M95" s="35"/>
      <c r="N95" s="35">
        <f>'DEPENSES PROGRAMME I'!M95</f>
        <v>0</v>
      </c>
      <c r="O95" s="35">
        <f>'DEPENSES PROGRAMME II'!M95</f>
        <v>0</v>
      </c>
      <c r="P95" s="35">
        <f>'DEPENSES PROGRAMME III'!M95</f>
        <v>0</v>
      </c>
      <c r="Q95" s="35"/>
    </row>
    <row r="96" spans="2:17" s="10" customFormat="1" x14ac:dyDescent="0.3">
      <c r="B96" s="27"/>
      <c r="C96" s="17">
        <v>627</v>
      </c>
      <c r="D96" s="3"/>
      <c r="E96" s="17" t="s">
        <v>251</v>
      </c>
      <c r="F96" s="43">
        <f>SUM(F97:F102)</f>
        <v>0</v>
      </c>
      <c r="G96" s="43">
        <f t="shared" ref="G96:H96" si="93">SUM(G97:G102)</f>
        <v>0</v>
      </c>
      <c r="H96" s="43">
        <f t="shared" si="93"/>
        <v>0</v>
      </c>
      <c r="I96" s="43"/>
      <c r="J96" s="43">
        <f>SUM(J97:J102)</f>
        <v>0</v>
      </c>
      <c r="K96" s="43">
        <f t="shared" ref="K96" si="94">SUM(K97:K102)</f>
        <v>0</v>
      </c>
      <c r="L96" s="43">
        <f t="shared" ref="L96" si="95">SUM(L97:L102)</f>
        <v>0</v>
      </c>
      <c r="M96" s="43"/>
      <c r="N96" s="43">
        <f>SUM(N97:N102)</f>
        <v>0</v>
      </c>
      <c r="O96" s="43">
        <f t="shared" ref="O96" si="96">SUM(O97:O102)</f>
        <v>0</v>
      </c>
      <c r="P96" s="43">
        <f t="shared" ref="P96" si="97">SUM(P97:P102)</f>
        <v>0</v>
      </c>
      <c r="Q96" s="43"/>
    </row>
    <row r="97" spans="2:17" x14ac:dyDescent="0.3">
      <c r="B97" s="27"/>
      <c r="C97" s="17"/>
      <c r="D97" s="3">
        <v>6271</v>
      </c>
      <c r="E97" s="3" t="s">
        <v>252</v>
      </c>
      <c r="F97" s="35">
        <f>'DEPENSES PROGRAMME I'!K97</f>
        <v>0</v>
      </c>
      <c r="G97" s="35">
        <f>'DEPENSES PROGRAMME II'!K97</f>
        <v>0</v>
      </c>
      <c r="H97" s="35">
        <f>'DEPENSES PROGRAMME III'!K97</f>
        <v>0</v>
      </c>
      <c r="I97" s="35"/>
      <c r="J97" s="35">
        <f>'DEPENSES PROGRAMME I'!L97</f>
        <v>0</v>
      </c>
      <c r="K97" s="35">
        <f>'DEPENSES PROGRAMME II'!L97</f>
        <v>0</v>
      </c>
      <c r="L97" s="35">
        <f>'DEPENSES PROGRAMME III'!L97</f>
        <v>0</v>
      </c>
      <c r="M97" s="35"/>
      <c r="N97" s="35">
        <f>'DEPENSES PROGRAMME I'!M97</f>
        <v>0</v>
      </c>
      <c r="O97" s="35">
        <f>'DEPENSES PROGRAMME II'!M97</f>
        <v>0</v>
      </c>
      <c r="P97" s="35">
        <f>'DEPENSES PROGRAMME III'!M97</f>
        <v>0</v>
      </c>
      <c r="Q97" s="35"/>
    </row>
    <row r="98" spans="2:17" x14ac:dyDescent="0.3">
      <c r="B98" s="27"/>
      <c r="C98" s="17"/>
      <c r="D98" s="3">
        <v>6272</v>
      </c>
      <c r="E98" s="3" t="s">
        <v>253</v>
      </c>
      <c r="F98" s="35">
        <f>'DEPENSES PROGRAMME I'!K98</f>
        <v>0</v>
      </c>
      <c r="G98" s="35">
        <f>'DEPENSES PROGRAMME II'!K98</f>
        <v>0</v>
      </c>
      <c r="H98" s="35">
        <f>'DEPENSES PROGRAMME III'!K98</f>
        <v>0</v>
      </c>
      <c r="I98" s="35"/>
      <c r="J98" s="35">
        <f>'DEPENSES PROGRAMME I'!L98</f>
        <v>0</v>
      </c>
      <c r="K98" s="35">
        <f>'DEPENSES PROGRAMME II'!L98</f>
        <v>0</v>
      </c>
      <c r="L98" s="35">
        <f>'DEPENSES PROGRAMME III'!L98</f>
        <v>0</v>
      </c>
      <c r="M98" s="35"/>
      <c r="N98" s="35">
        <f>'DEPENSES PROGRAMME I'!M98</f>
        <v>0</v>
      </c>
      <c r="O98" s="35">
        <f>'DEPENSES PROGRAMME II'!M98</f>
        <v>0</v>
      </c>
      <c r="P98" s="35">
        <f>'DEPENSES PROGRAMME III'!M98</f>
        <v>0</v>
      </c>
      <c r="Q98" s="35"/>
    </row>
    <row r="99" spans="2:17" x14ac:dyDescent="0.3">
      <c r="B99" s="27"/>
      <c r="C99" s="17"/>
      <c r="D99" s="3">
        <v>6273</v>
      </c>
      <c r="E99" s="3" t="s">
        <v>254</v>
      </c>
      <c r="F99" s="35">
        <f>'DEPENSES PROGRAMME I'!K99</f>
        <v>0</v>
      </c>
      <c r="G99" s="35">
        <f>'DEPENSES PROGRAMME II'!K99</f>
        <v>0</v>
      </c>
      <c r="H99" s="35">
        <f>'DEPENSES PROGRAMME III'!K99</f>
        <v>0</v>
      </c>
      <c r="I99" s="35"/>
      <c r="J99" s="35">
        <f>'DEPENSES PROGRAMME I'!L99</f>
        <v>0</v>
      </c>
      <c r="K99" s="35">
        <f>'DEPENSES PROGRAMME II'!L99</f>
        <v>0</v>
      </c>
      <c r="L99" s="35">
        <f>'DEPENSES PROGRAMME III'!L99</f>
        <v>0</v>
      </c>
      <c r="M99" s="35"/>
      <c r="N99" s="35">
        <f>'DEPENSES PROGRAMME I'!M99</f>
        <v>0</v>
      </c>
      <c r="O99" s="35">
        <f>'DEPENSES PROGRAMME II'!M99</f>
        <v>0</v>
      </c>
      <c r="P99" s="35">
        <f>'DEPENSES PROGRAMME III'!M99</f>
        <v>0</v>
      </c>
      <c r="Q99" s="35"/>
    </row>
    <row r="100" spans="2:17" x14ac:dyDescent="0.3">
      <c r="B100" s="27"/>
      <c r="C100" s="17"/>
      <c r="D100" s="3">
        <v>6274</v>
      </c>
      <c r="E100" s="3" t="s">
        <v>255</v>
      </c>
      <c r="F100" s="35">
        <f>'DEPENSES PROGRAMME I'!K100</f>
        <v>0</v>
      </c>
      <c r="G100" s="35">
        <f>'DEPENSES PROGRAMME II'!K100</f>
        <v>0</v>
      </c>
      <c r="H100" s="35">
        <f>'DEPENSES PROGRAMME III'!K100</f>
        <v>0</v>
      </c>
      <c r="I100" s="35"/>
      <c r="J100" s="35">
        <f>'DEPENSES PROGRAMME I'!L100</f>
        <v>0</v>
      </c>
      <c r="K100" s="35">
        <f>'DEPENSES PROGRAMME II'!L100</f>
        <v>0</v>
      </c>
      <c r="L100" s="35">
        <f>'DEPENSES PROGRAMME III'!L100</f>
        <v>0</v>
      </c>
      <c r="M100" s="35"/>
      <c r="N100" s="35">
        <f>'DEPENSES PROGRAMME I'!M100</f>
        <v>0</v>
      </c>
      <c r="O100" s="35">
        <f>'DEPENSES PROGRAMME II'!M100</f>
        <v>0</v>
      </c>
      <c r="P100" s="35">
        <f>'DEPENSES PROGRAMME III'!M100</f>
        <v>0</v>
      </c>
      <c r="Q100" s="35"/>
    </row>
    <row r="101" spans="2:17" x14ac:dyDescent="0.3">
      <c r="B101" s="27"/>
      <c r="C101" s="17"/>
      <c r="D101" s="3">
        <v>6275</v>
      </c>
      <c r="E101" s="3" t="s">
        <v>256</v>
      </c>
      <c r="F101" s="35">
        <f>'DEPENSES PROGRAMME I'!K101</f>
        <v>0</v>
      </c>
      <c r="G101" s="35">
        <f>'DEPENSES PROGRAMME II'!K101</f>
        <v>0</v>
      </c>
      <c r="H101" s="35">
        <f>'DEPENSES PROGRAMME III'!K101</f>
        <v>0</v>
      </c>
      <c r="I101" s="35"/>
      <c r="J101" s="35">
        <f>'DEPENSES PROGRAMME I'!L101</f>
        <v>0</v>
      </c>
      <c r="K101" s="35">
        <f>'DEPENSES PROGRAMME II'!L101</f>
        <v>0</v>
      </c>
      <c r="L101" s="35">
        <f>'DEPENSES PROGRAMME III'!L101</f>
        <v>0</v>
      </c>
      <c r="M101" s="35"/>
      <c r="N101" s="35">
        <f>'DEPENSES PROGRAMME I'!M101</f>
        <v>0</v>
      </c>
      <c r="O101" s="35">
        <f>'DEPENSES PROGRAMME II'!M101</f>
        <v>0</v>
      </c>
      <c r="P101" s="35">
        <f>'DEPENSES PROGRAMME III'!M101</f>
        <v>0</v>
      </c>
      <c r="Q101" s="35"/>
    </row>
    <row r="102" spans="2:17" x14ac:dyDescent="0.3">
      <c r="B102" s="27"/>
      <c r="C102" s="17"/>
      <c r="D102" s="3">
        <v>6278</v>
      </c>
      <c r="E102" s="3" t="s">
        <v>257</v>
      </c>
      <c r="F102" s="35">
        <f>'DEPENSES PROGRAMME I'!K102</f>
        <v>0</v>
      </c>
      <c r="G102" s="35">
        <f>'DEPENSES PROGRAMME II'!K102</f>
        <v>0</v>
      </c>
      <c r="H102" s="35">
        <f>'DEPENSES PROGRAMME III'!K102</f>
        <v>0</v>
      </c>
      <c r="I102" s="35"/>
      <c r="J102" s="35">
        <f>'DEPENSES PROGRAMME I'!L102</f>
        <v>0</v>
      </c>
      <c r="K102" s="35">
        <f>'DEPENSES PROGRAMME II'!L102</f>
        <v>0</v>
      </c>
      <c r="L102" s="35">
        <f>'DEPENSES PROGRAMME III'!L102</f>
        <v>0</v>
      </c>
      <c r="M102" s="35"/>
      <c r="N102" s="35">
        <f>'DEPENSES PROGRAMME I'!M102</f>
        <v>0</v>
      </c>
      <c r="O102" s="35">
        <f>'DEPENSES PROGRAMME II'!M102</f>
        <v>0</v>
      </c>
      <c r="P102" s="35">
        <f>'DEPENSES PROGRAMME III'!M102</f>
        <v>0</v>
      </c>
      <c r="Q102" s="35"/>
    </row>
    <row r="103" spans="2:17" s="10" customFormat="1" x14ac:dyDescent="0.3">
      <c r="B103" s="27"/>
      <c r="C103" s="17">
        <v>628</v>
      </c>
      <c r="D103" s="3"/>
      <c r="E103" s="17" t="s">
        <v>258</v>
      </c>
      <c r="F103" s="43">
        <f>SUM(F104:F111)</f>
        <v>0</v>
      </c>
      <c r="G103" s="43">
        <f t="shared" ref="G103:H103" si="98">SUM(G104:G111)</f>
        <v>0</v>
      </c>
      <c r="H103" s="43">
        <f t="shared" si="98"/>
        <v>0</v>
      </c>
      <c r="I103" s="43"/>
      <c r="J103" s="43">
        <f>SUM(J104:J111)</f>
        <v>0</v>
      </c>
      <c r="K103" s="43">
        <f t="shared" ref="K103" si="99">SUM(K104:K111)</f>
        <v>0</v>
      </c>
      <c r="L103" s="43">
        <f t="shared" ref="L103" si="100">SUM(L104:L111)</f>
        <v>0</v>
      </c>
      <c r="M103" s="43"/>
      <c r="N103" s="43">
        <f>SUM(N104:N111)</f>
        <v>0</v>
      </c>
      <c r="O103" s="43">
        <f t="shared" ref="O103" si="101">SUM(O104:O111)</f>
        <v>0</v>
      </c>
      <c r="P103" s="43">
        <f t="shared" ref="P103" si="102">SUM(P104:P111)</f>
        <v>0</v>
      </c>
      <c r="Q103" s="43"/>
    </row>
    <row r="104" spans="2:17" x14ac:dyDescent="0.3">
      <c r="B104" s="27"/>
      <c r="C104" s="17"/>
      <c r="D104" s="3">
        <v>6281</v>
      </c>
      <c r="E104" s="3" t="s">
        <v>259</v>
      </c>
      <c r="F104" s="35">
        <f>'DEPENSES PROGRAMME I'!K104</f>
        <v>0</v>
      </c>
      <c r="G104" s="35">
        <f>'DEPENSES PROGRAMME II'!K104</f>
        <v>0</v>
      </c>
      <c r="H104" s="35">
        <f>'DEPENSES PROGRAMME III'!K104</f>
        <v>0</v>
      </c>
      <c r="I104" s="35"/>
      <c r="J104" s="35">
        <f>'DEPENSES PROGRAMME I'!L104</f>
        <v>0</v>
      </c>
      <c r="K104" s="35">
        <f>'DEPENSES PROGRAMME II'!L104</f>
        <v>0</v>
      </c>
      <c r="L104" s="35">
        <f>'DEPENSES PROGRAMME III'!L104</f>
        <v>0</v>
      </c>
      <c r="M104" s="35"/>
      <c r="N104" s="35">
        <f>'DEPENSES PROGRAMME I'!M104</f>
        <v>0</v>
      </c>
      <c r="O104" s="35">
        <f>'DEPENSES PROGRAMME II'!M104</f>
        <v>0</v>
      </c>
      <c r="P104" s="35">
        <f>'DEPENSES PROGRAMME III'!M104</f>
        <v>0</v>
      </c>
      <c r="Q104" s="35"/>
    </row>
    <row r="105" spans="2:17" x14ac:dyDescent="0.3">
      <c r="B105" s="27"/>
      <c r="C105" s="17"/>
      <c r="D105" s="3">
        <v>6282</v>
      </c>
      <c r="E105" s="3" t="s">
        <v>260</v>
      </c>
      <c r="F105" s="35">
        <f>'DEPENSES PROGRAMME I'!K105</f>
        <v>0</v>
      </c>
      <c r="G105" s="35">
        <f>'DEPENSES PROGRAMME II'!K105</f>
        <v>0</v>
      </c>
      <c r="H105" s="35">
        <f>'DEPENSES PROGRAMME III'!K105</f>
        <v>0</v>
      </c>
      <c r="I105" s="35"/>
      <c r="J105" s="35">
        <f>'DEPENSES PROGRAMME I'!L105</f>
        <v>0</v>
      </c>
      <c r="K105" s="35">
        <f>'DEPENSES PROGRAMME II'!L105</f>
        <v>0</v>
      </c>
      <c r="L105" s="35">
        <f>'DEPENSES PROGRAMME III'!L105</f>
        <v>0</v>
      </c>
      <c r="M105" s="35"/>
      <c r="N105" s="35">
        <f>'DEPENSES PROGRAMME I'!M105</f>
        <v>0</v>
      </c>
      <c r="O105" s="35">
        <f>'DEPENSES PROGRAMME II'!M105</f>
        <v>0</v>
      </c>
      <c r="P105" s="35">
        <f>'DEPENSES PROGRAMME III'!M105</f>
        <v>0</v>
      </c>
      <c r="Q105" s="35"/>
    </row>
    <row r="106" spans="2:17" x14ac:dyDescent="0.3">
      <c r="B106" s="27"/>
      <c r="C106" s="17"/>
      <c r="D106" s="3">
        <v>6283</v>
      </c>
      <c r="E106" s="3" t="s">
        <v>261</v>
      </c>
      <c r="F106" s="35">
        <f>'DEPENSES PROGRAMME I'!K106</f>
        <v>0</v>
      </c>
      <c r="G106" s="35">
        <f>'DEPENSES PROGRAMME II'!K106</f>
        <v>0</v>
      </c>
      <c r="H106" s="35">
        <f>'DEPENSES PROGRAMME III'!K106</f>
        <v>0</v>
      </c>
      <c r="I106" s="35"/>
      <c r="J106" s="35">
        <f>'DEPENSES PROGRAMME I'!L106</f>
        <v>0</v>
      </c>
      <c r="K106" s="35">
        <f>'DEPENSES PROGRAMME II'!L106</f>
        <v>0</v>
      </c>
      <c r="L106" s="35">
        <f>'DEPENSES PROGRAMME III'!L106</f>
        <v>0</v>
      </c>
      <c r="M106" s="35"/>
      <c r="N106" s="35">
        <f>'DEPENSES PROGRAMME I'!M106</f>
        <v>0</v>
      </c>
      <c r="O106" s="35">
        <f>'DEPENSES PROGRAMME II'!M106</f>
        <v>0</v>
      </c>
      <c r="P106" s="35">
        <f>'DEPENSES PROGRAMME III'!M106</f>
        <v>0</v>
      </c>
      <c r="Q106" s="35"/>
    </row>
    <row r="107" spans="2:17" x14ac:dyDescent="0.3">
      <c r="B107" s="27"/>
      <c r="C107" s="17"/>
      <c r="D107" s="3">
        <v>6284</v>
      </c>
      <c r="E107" s="3" t="s">
        <v>262</v>
      </c>
      <c r="F107" s="35">
        <f>'DEPENSES PROGRAMME I'!K107</f>
        <v>0</v>
      </c>
      <c r="G107" s="35">
        <f>'DEPENSES PROGRAMME II'!K107</f>
        <v>0</v>
      </c>
      <c r="H107" s="35">
        <f>'DEPENSES PROGRAMME III'!K107</f>
        <v>0</v>
      </c>
      <c r="I107" s="35"/>
      <c r="J107" s="35">
        <f>'DEPENSES PROGRAMME I'!L107</f>
        <v>0</v>
      </c>
      <c r="K107" s="35">
        <f>'DEPENSES PROGRAMME II'!L107</f>
        <v>0</v>
      </c>
      <c r="L107" s="35">
        <f>'DEPENSES PROGRAMME III'!L107</f>
        <v>0</v>
      </c>
      <c r="M107" s="35"/>
      <c r="N107" s="35">
        <f>'DEPENSES PROGRAMME I'!M107</f>
        <v>0</v>
      </c>
      <c r="O107" s="35">
        <f>'DEPENSES PROGRAMME II'!M107</f>
        <v>0</v>
      </c>
      <c r="P107" s="35">
        <f>'DEPENSES PROGRAMME III'!M107</f>
        <v>0</v>
      </c>
      <c r="Q107" s="35"/>
    </row>
    <row r="108" spans="2:17" x14ac:dyDescent="0.3">
      <c r="B108" s="27"/>
      <c r="C108" s="17"/>
      <c r="D108" s="3">
        <v>6285</v>
      </c>
      <c r="E108" s="3" t="s">
        <v>263</v>
      </c>
      <c r="F108" s="35">
        <f>'DEPENSES PROGRAMME I'!K108</f>
        <v>0</v>
      </c>
      <c r="G108" s="35">
        <f>'DEPENSES PROGRAMME II'!K108</f>
        <v>0</v>
      </c>
      <c r="H108" s="35">
        <f>'DEPENSES PROGRAMME III'!K108</f>
        <v>0</v>
      </c>
      <c r="I108" s="35"/>
      <c r="J108" s="35">
        <f>'DEPENSES PROGRAMME I'!L108</f>
        <v>0</v>
      </c>
      <c r="K108" s="35">
        <f>'DEPENSES PROGRAMME II'!L108</f>
        <v>0</v>
      </c>
      <c r="L108" s="35">
        <f>'DEPENSES PROGRAMME III'!L108</f>
        <v>0</v>
      </c>
      <c r="M108" s="35"/>
      <c r="N108" s="35">
        <f>'DEPENSES PROGRAMME I'!M108</f>
        <v>0</v>
      </c>
      <c r="O108" s="35">
        <f>'DEPENSES PROGRAMME II'!M108</f>
        <v>0</v>
      </c>
      <c r="P108" s="35">
        <f>'DEPENSES PROGRAMME III'!M108</f>
        <v>0</v>
      </c>
      <c r="Q108" s="35"/>
    </row>
    <row r="109" spans="2:17" x14ac:dyDescent="0.3">
      <c r="B109" s="27"/>
      <c r="C109" s="17"/>
      <c r="D109" s="3">
        <v>6286</v>
      </c>
      <c r="E109" s="3" t="s">
        <v>264</v>
      </c>
      <c r="F109" s="35">
        <f>'DEPENSES PROGRAMME I'!K109</f>
        <v>0</v>
      </c>
      <c r="G109" s="35">
        <f>'DEPENSES PROGRAMME II'!K109</f>
        <v>0</v>
      </c>
      <c r="H109" s="35">
        <f>'DEPENSES PROGRAMME III'!K109</f>
        <v>0</v>
      </c>
      <c r="I109" s="35"/>
      <c r="J109" s="35">
        <f>'DEPENSES PROGRAMME I'!L109</f>
        <v>0</v>
      </c>
      <c r="K109" s="35">
        <f>'DEPENSES PROGRAMME II'!L109</f>
        <v>0</v>
      </c>
      <c r="L109" s="35">
        <f>'DEPENSES PROGRAMME III'!L109</f>
        <v>0</v>
      </c>
      <c r="M109" s="35"/>
      <c r="N109" s="35">
        <f>'DEPENSES PROGRAMME I'!M109</f>
        <v>0</v>
      </c>
      <c r="O109" s="35">
        <f>'DEPENSES PROGRAMME II'!M109</f>
        <v>0</v>
      </c>
      <c r="P109" s="35">
        <f>'DEPENSES PROGRAMME III'!M109</f>
        <v>0</v>
      </c>
      <c r="Q109" s="35"/>
    </row>
    <row r="110" spans="2:17" x14ac:dyDescent="0.3">
      <c r="B110" s="27"/>
      <c r="C110" s="17"/>
      <c r="D110" s="3">
        <v>6287</v>
      </c>
      <c r="E110" s="3" t="s">
        <v>265</v>
      </c>
      <c r="F110" s="35">
        <f>'DEPENSES PROGRAMME I'!K110</f>
        <v>0</v>
      </c>
      <c r="G110" s="35">
        <f>'DEPENSES PROGRAMME II'!K110</f>
        <v>0</v>
      </c>
      <c r="H110" s="35">
        <f>'DEPENSES PROGRAMME III'!K110</f>
        <v>0</v>
      </c>
      <c r="I110" s="35"/>
      <c r="J110" s="35">
        <f>'DEPENSES PROGRAMME I'!L110</f>
        <v>0</v>
      </c>
      <c r="K110" s="35">
        <f>'DEPENSES PROGRAMME II'!L110</f>
        <v>0</v>
      </c>
      <c r="L110" s="35">
        <f>'DEPENSES PROGRAMME III'!L110</f>
        <v>0</v>
      </c>
      <c r="M110" s="35"/>
      <c r="N110" s="35">
        <f>'DEPENSES PROGRAMME I'!M110</f>
        <v>0</v>
      </c>
      <c r="O110" s="35">
        <f>'DEPENSES PROGRAMME II'!M110</f>
        <v>0</v>
      </c>
      <c r="P110" s="35">
        <f>'DEPENSES PROGRAMME III'!M110</f>
        <v>0</v>
      </c>
      <c r="Q110" s="35"/>
    </row>
    <row r="111" spans="2:17" x14ac:dyDescent="0.3">
      <c r="B111" s="27"/>
      <c r="C111" s="17"/>
      <c r="D111" s="3">
        <v>6288</v>
      </c>
      <c r="E111" s="3" t="s">
        <v>266</v>
      </c>
      <c r="F111" s="35">
        <f>'DEPENSES PROGRAMME I'!K111</f>
        <v>0</v>
      </c>
      <c r="G111" s="35">
        <f>'DEPENSES PROGRAMME II'!K111</f>
        <v>0</v>
      </c>
      <c r="H111" s="35">
        <f>'DEPENSES PROGRAMME III'!K111</f>
        <v>0</v>
      </c>
      <c r="I111" s="35"/>
      <c r="J111" s="35">
        <f>'DEPENSES PROGRAMME I'!L111</f>
        <v>0</v>
      </c>
      <c r="K111" s="35">
        <f>'DEPENSES PROGRAMME II'!L111</f>
        <v>0</v>
      </c>
      <c r="L111" s="35">
        <f>'DEPENSES PROGRAMME III'!L111</f>
        <v>0</v>
      </c>
      <c r="M111" s="35"/>
      <c r="N111" s="35">
        <f>'DEPENSES PROGRAMME I'!M111</f>
        <v>0</v>
      </c>
      <c r="O111" s="35">
        <f>'DEPENSES PROGRAMME II'!M111</f>
        <v>0</v>
      </c>
      <c r="P111" s="35">
        <f>'DEPENSES PROGRAMME III'!M111</f>
        <v>0</v>
      </c>
      <c r="Q111" s="35"/>
    </row>
    <row r="112" spans="2:17" s="10" customFormat="1" ht="30" customHeight="1" x14ac:dyDescent="0.3">
      <c r="B112" s="27">
        <v>63</v>
      </c>
      <c r="C112" s="17"/>
      <c r="D112" s="17"/>
      <c r="E112" s="17" t="s">
        <v>156</v>
      </c>
      <c r="F112" s="43">
        <f>SUM(F113,F115,F117,F119)</f>
        <v>0</v>
      </c>
      <c r="G112" s="43">
        <f t="shared" ref="G112:H112" si="103">SUM(G113,G115,G117,G119)</f>
        <v>0</v>
      </c>
      <c r="H112" s="43">
        <f t="shared" si="103"/>
        <v>0</v>
      </c>
      <c r="I112" s="43">
        <f>SUM(F112,G112,H112)</f>
        <v>0</v>
      </c>
      <c r="J112" s="43">
        <f>SUM(J113,J115,J117,J119)</f>
        <v>0</v>
      </c>
      <c r="K112" s="43">
        <f t="shared" ref="K112" si="104">SUM(K113,K115,K117,K119)</f>
        <v>0</v>
      </c>
      <c r="L112" s="43">
        <f t="shared" ref="L112" si="105">SUM(L113,L115,L117,L119)</f>
        <v>0</v>
      </c>
      <c r="M112" s="43">
        <f>SUM(J112,K112,L112)</f>
        <v>0</v>
      </c>
      <c r="N112" s="43">
        <f>SUM(N113,N115,N117,N119)</f>
        <v>0</v>
      </c>
      <c r="O112" s="43">
        <f t="shared" ref="O112" si="106">SUM(O113,O115,O117,O119)</f>
        <v>0</v>
      </c>
      <c r="P112" s="43">
        <f t="shared" ref="P112" si="107">SUM(P113,P115,P117,P119)</f>
        <v>0</v>
      </c>
      <c r="Q112" s="43">
        <f>SUM(N112,O112,P112)</f>
        <v>0</v>
      </c>
    </row>
    <row r="113" spans="2:17" s="10" customFormat="1" x14ac:dyDescent="0.3">
      <c r="B113" s="27"/>
      <c r="C113" s="17">
        <v>631</v>
      </c>
      <c r="D113" s="3"/>
      <c r="E113" s="17" t="s">
        <v>267</v>
      </c>
      <c r="F113" s="43">
        <f>SUM(F114)</f>
        <v>0</v>
      </c>
      <c r="G113" s="43">
        <f t="shared" ref="G113:H113" si="108">SUM(G114)</f>
        <v>0</v>
      </c>
      <c r="H113" s="43">
        <f t="shared" si="108"/>
        <v>0</v>
      </c>
      <c r="I113" s="43"/>
      <c r="J113" s="43">
        <f>SUM(J114)</f>
        <v>0</v>
      </c>
      <c r="K113" s="43">
        <f t="shared" ref="K113" si="109">SUM(K114)</f>
        <v>0</v>
      </c>
      <c r="L113" s="43">
        <f t="shared" ref="L113" si="110">SUM(L114)</f>
        <v>0</v>
      </c>
      <c r="M113" s="43"/>
      <c r="N113" s="43">
        <f>SUM(N114)</f>
        <v>0</v>
      </c>
      <c r="O113" s="43">
        <f t="shared" ref="O113" si="111">SUM(O114)</f>
        <v>0</v>
      </c>
      <c r="P113" s="43">
        <f t="shared" ref="P113" si="112">SUM(P114)</f>
        <v>0</v>
      </c>
      <c r="Q113" s="43"/>
    </row>
    <row r="114" spans="2:17" x14ac:dyDescent="0.3">
      <c r="B114" s="27"/>
      <c r="C114" s="17"/>
      <c r="D114" s="3">
        <v>6310</v>
      </c>
      <c r="E114" s="3" t="s">
        <v>267</v>
      </c>
      <c r="F114" s="35">
        <f>'DEPENSES PROGRAMME I'!K114</f>
        <v>0</v>
      </c>
      <c r="G114" s="35">
        <f>'DEPENSES PROGRAMME II'!K114</f>
        <v>0</v>
      </c>
      <c r="H114" s="35">
        <f>'DEPENSES PROGRAMME III'!K114</f>
        <v>0</v>
      </c>
      <c r="I114" s="35"/>
      <c r="J114" s="35">
        <f>'DEPENSES PROGRAMME I'!L114</f>
        <v>0</v>
      </c>
      <c r="K114" s="35">
        <f>'DEPENSES PROGRAMME II'!L114</f>
        <v>0</v>
      </c>
      <c r="L114" s="35">
        <f>'DEPENSES PROGRAMME III'!L114</f>
        <v>0</v>
      </c>
      <c r="M114" s="35"/>
      <c r="N114" s="35">
        <f>'DEPENSES PROGRAMME I'!M114</f>
        <v>0</v>
      </c>
      <c r="O114" s="35">
        <f>'DEPENSES PROGRAMME II'!M114</f>
        <v>0</v>
      </c>
      <c r="P114" s="35">
        <f>'DEPENSES PROGRAMME III'!M114</f>
        <v>0</v>
      </c>
      <c r="Q114" s="35"/>
    </row>
    <row r="115" spans="2:17" s="10" customFormat="1" x14ac:dyDescent="0.3">
      <c r="B115" s="27"/>
      <c r="C115" s="17">
        <v>632</v>
      </c>
      <c r="D115" s="3"/>
      <c r="E115" s="17" t="s">
        <v>268</v>
      </c>
      <c r="F115" s="43">
        <f>SUM(F116)</f>
        <v>0</v>
      </c>
      <c r="G115" s="43">
        <f t="shared" ref="G115:H115" si="113">SUM(G116)</f>
        <v>0</v>
      </c>
      <c r="H115" s="43">
        <f t="shared" si="113"/>
        <v>0</v>
      </c>
      <c r="I115" s="43"/>
      <c r="J115" s="43">
        <f>SUM(J116)</f>
        <v>0</v>
      </c>
      <c r="K115" s="43">
        <f t="shared" ref="K115" si="114">SUM(K116)</f>
        <v>0</v>
      </c>
      <c r="L115" s="43">
        <f t="shared" ref="L115" si="115">SUM(L116)</f>
        <v>0</v>
      </c>
      <c r="M115" s="43"/>
      <c r="N115" s="43">
        <f>SUM(N116)</f>
        <v>0</v>
      </c>
      <c r="O115" s="43">
        <f t="shared" ref="O115" si="116">SUM(O116)</f>
        <v>0</v>
      </c>
      <c r="P115" s="43">
        <f t="shared" ref="P115" si="117">SUM(P116)</f>
        <v>0</v>
      </c>
      <c r="Q115" s="43"/>
    </row>
    <row r="116" spans="2:17" x14ac:dyDescent="0.3">
      <c r="B116" s="27"/>
      <c r="C116" s="17"/>
      <c r="D116" s="3">
        <v>6320</v>
      </c>
      <c r="E116" s="3" t="s">
        <v>268</v>
      </c>
      <c r="F116" s="35">
        <f>'DEPENSES PROGRAMME I'!K116</f>
        <v>0</v>
      </c>
      <c r="G116" s="35">
        <f>'DEPENSES PROGRAMME II'!K116</f>
        <v>0</v>
      </c>
      <c r="H116" s="35">
        <f>'DEPENSES PROGRAMME III'!K116</f>
        <v>0</v>
      </c>
      <c r="I116" s="35"/>
      <c r="J116" s="35">
        <f>'DEPENSES PROGRAMME I'!L116</f>
        <v>0</v>
      </c>
      <c r="K116" s="35">
        <f>'DEPENSES PROGRAMME II'!L116</f>
        <v>0</v>
      </c>
      <c r="L116" s="35">
        <f>'DEPENSES PROGRAMME III'!L116</f>
        <v>0</v>
      </c>
      <c r="M116" s="35"/>
      <c r="N116" s="35">
        <f>'DEPENSES PROGRAMME I'!M116</f>
        <v>0</v>
      </c>
      <c r="O116" s="35">
        <f>'DEPENSES PROGRAMME II'!M116</f>
        <v>0</v>
      </c>
      <c r="P116" s="35">
        <f>'DEPENSES PROGRAMME III'!M116</f>
        <v>0</v>
      </c>
      <c r="Q116" s="35"/>
    </row>
    <row r="117" spans="2:17" s="10" customFormat="1" x14ac:dyDescent="0.3">
      <c r="B117" s="27"/>
      <c r="C117" s="17">
        <v>633</v>
      </c>
      <c r="D117" s="3"/>
      <c r="E117" s="17" t="s">
        <v>269</v>
      </c>
      <c r="F117" s="43">
        <f>SUM(F118)</f>
        <v>0</v>
      </c>
      <c r="G117" s="43">
        <f t="shared" ref="G117:H117" si="118">SUM(G118)</f>
        <v>0</v>
      </c>
      <c r="H117" s="43">
        <f t="shared" si="118"/>
        <v>0</v>
      </c>
      <c r="I117" s="43"/>
      <c r="J117" s="43">
        <f>SUM(J118)</f>
        <v>0</v>
      </c>
      <c r="K117" s="43">
        <f t="shared" ref="K117" si="119">SUM(K118)</f>
        <v>0</v>
      </c>
      <c r="L117" s="43">
        <f t="shared" ref="L117" si="120">SUM(L118)</f>
        <v>0</v>
      </c>
      <c r="M117" s="43"/>
      <c r="N117" s="43">
        <f>SUM(N118)</f>
        <v>0</v>
      </c>
      <c r="O117" s="43">
        <f t="shared" ref="O117" si="121">SUM(O118)</f>
        <v>0</v>
      </c>
      <c r="P117" s="43">
        <f t="shared" ref="P117" si="122">SUM(P118)</f>
        <v>0</v>
      </c>
      <c r="Q117" s="43"/>
    </row>
    <row r="118" spans="2:17" x14ac:dyDescent="0.3">
      <c r="B118" s="27"/>
      <c r="C118" s="17"/>
      <c r="D118" s="3">
        <v>6330</v>
      </c>
      <c r="E118" s="3" t="s">
        <v>269</v>
      </c>
      <c r="F118" s="35">
        <f>'DEPENSES PROGRAMME I'!K118</f>
        <v>0</v>
      </c>
      <c r="G118" s="35">
        <f>'DEPENSES PROGRAMME II'!K118</f>
        <v>0</v>
      </c>
      <c r="H118" s="35">
        <f>'DEPENSES PROGRAMME III'!K118</f>
        <v>0</v>
      </c>
      <c r="I118" s="35"/>
      <c r="J118" s="35">
        <f>'DEPENSES PROGRAMME I'!L118</f>
        <v>0</v>
      </c>
      <c r="K118" s="35">
        <f>'DEPENSES PROGRAMME II'!L118</f>
        <v>0</v>
      </c>
      <c r="L118" s="35">
        <f>'DEPENSES PROGRAMME III'!L118</f>
        <v>0</v>
      </c>
      <c r="M118" s="35"/>
      <c r="N118" s="35">
        <f>'DEPENSES PROGRAMME I'!M118</f>
        <v>0</v>
      </c>
      <c r="O118" s="35">
        <f>'DEPENSES PROGRAMME II'!M118</f>
        <v>0</v>
      </c>
      <c r="P118" s="35">
        <f>'DEPENSES PROGRAMME III'!M118</f>
        <v>0</v>
      </c>
      <c r="Q118" s="35"/>
    </row>
    <row r="119" spans="2:17" s="10" customFormat="1" x14ac:dyDescent="0.3">
      <c r="B119" s="27"/>
      <c r="C119" s="17">
        <v>638</v>
      </c>
      <c r="D119" s="3"/>
      <c r="E119" s="17" t="s">
        <v>270</v>
      </c>
      <c r="F119" s="43">
        <f>SUM(F120)</f>
        <v>0</v>
      </c>
      <c r="G119" s="43">
        <f t="shared" ref="G119:H119" si="123">SUM(G120)</f>
        <v>0</v>
      </c>
      <c r="H119" s="43">
        <f t="shared" si="123"/>
        <v>0</v>
      </c>
      <c r="I119" s="43"/>
      <c r="J119" s="43">
        <f>SUM(J120)</f>
        <v>0</v>
      </c>
      <c r="K119" s="43">
        <f t="shared" ref="K119" si="124">SUM(K120)</f>
        <v>0</v>
      </c>
      <c r="L119" s="43">
        <f t="shared" ref="L119" si="125">SUM(L120)</f>
        <v>0</v>
      </c>
      <c r="M119" s="43"/>
      <c r="N119" s="43">
        <f>SUM(N120)</f>
        <v>0</v>
      </c>
      <c r="O119" s="43">
        <f t="shared" ref="O119" si="126">SUM(O120)</f>
        <v>0</v>
      </c>
      <c r="P119" s="43">
        <f t="shared" ref="P119" si="127">SUM(P120)</f>
        <v>0</v>
      </c>
      <c r="Q119" s="43"/>
    </row>
    <row r="120" spans="2:17" x14ac:dyDescent="0.3">
      <c r="B120" s="27"/>
      <c r="C120" s="17"/>
      <c r="D120" s="3">
        <v>6380</v>
      </c>
      <c r="E120" s="3" t="s">
        <v>270</v>
      </c>
      <c r="F120" s="35">
        <f>'DEPENSES PROGRAMME I'!K120</f>
        <v>0</v>
      </c>
      <c r="G120" s="35">
        <f>'DEPENSES PROGRAMME II'!K120</f>
        <v>0</v>
      </c>
      <c r="H120" s="35">
        <f>'DEPENSES PROGRAMME III'!K120</f>
        <v>0</v>
      </c>
      <c r="I120" s="35"/>
      <c r="J120" s="35">
        <f>'DEPENSES PROGRAMME I'!L120</f>
        <v>0</v>
      </c>
      <c r="K120" s="35">
        <f>'DEPENSES PROGRAMME II'!L120</f>
        <v>0</v>
      </c>
      <c r="L120" s="35">
        <f>'DEPENSES PROGRAMME III'!L120</f>
        <v>0</v>
      </c>
      <c r="M120" s="35"/>
      <c r="N120" s="35">
        <f>'DEPENSES PROGRAMME I'!M120</f>
        <v>0</v>
      </c>
      <c r="O120" s="35">
        <f>'DEPENSES PROGRAMME II'!M120</f>
        <v>0</v>
      </c>
      <c r="P120" s="35">
        <f>'DEPENSES PROGRAMME III'!M120</f>
        <v>0</v>
      </c>
      <c r="Q120" s="35"/>
    </row>
    <row r="121" spans="2:17" s="10" customFormat="1" ht="30" customHeight="1" x14ac:dyDescent="0.3">
      <c r="B121" s="27">
        <v>64</v>
      </c>
      <c r="C121" s="17"/>
      <c r="D121" s="17"/>
      <c r="E121" s="17" t="s">
        <v>157</v>
      </c>
      <c r="F121" s="43">
        <f>SUM(F122,F124,F126,F128,F130)</f>
        <v>0</v>
      </c>
      <c r="G121" s="43">
        <f t="shared" ref="G121:H121" si="128">SUM(G122,G124,G126,G128,G130)</f>
        <v>0</v>
      </c>
      <c r="H121" s="43">
        <f t="shared" si="128"/>
        <v>0</v>
      </c>
      <c r="I121" s="43">
        <f>SUM(F121,G121,H121)</f>
        <v>0</v>
      </c>
      <c r="J121" s="43">
        <f>SUM(J122,J124,J126,J128,J130)</f>
        <v>0</v>
      </c>
      <c r="K121" s="43">
        <f t="shared" ref="K121" si="129">SUM(K122,K124,K126,K128,K130)</f>
        <v>0</v>
      </c>
      <c r="L121" s="43">
        <f t="shared" ref="L121" si="130">SUM(L122,L124,L126,L128,L130)</f>
        <v>0</v>
      </c>
      <c r="M121" s="43">
        <f>SUM(J121,K121,L121)</f>
        <v>0</v>
      </c>
      <c r="N121" s="43">
        <f>SUM(N122,N124,N126,N128,N130)</f>
        <v>0</v>
      </c>
      <c r="O121" s="43">
        <f t="shared" ref="O121" si="131">SUM(O122,O124,O126,O128,O130)</f>
        <v>0</v>
      </c>
      <c r="P121" s="43">
        <f t="shared" ref="P121" si="132">SUM(P122,P124,P126,P128,P130)</f>
        <v>0</v>
      </c>
      <c r="Q121" s="43">
        <f>SUM(N121,O121,P121)</f>
        <v>0</v>
      </c>
    </row>
    <row r="122" spans="2:17" x14ac:dyDescent="0.3">
      <c r="B122" s="27"/>
      <c r="C122" s="17">
        <v>641</v>
      </c>
      <c r="D122" s="3"/>
      <c r="E122" s="17" t="s">
        <v>271</v>
      </c>
      <c r="F122" s="43">
        <f>SUM(F123)</f>
        <v>0</v>
      </c>
      <c r="G122" s="43">
        <f t="shared" ref="G122:H122" si="133">SUM(G123)</f>
        <v>0</v>
      </c>
      <c r="H122" s="43">
        <f t="shared" si="133"/>
        <v>0</v>
      </c>
      <c r="I122" s="43"/>
      <c r="J122" s="43">
        <f>SUM(J123)</f>
        <v>0</v>
      </c>
      <c r="K122" s="43">
        <f t="shared" ref="K122" si="134">SUM(K123)</f>
        <v>0</v>
      </c>
      <c r="L122" s="43">
        <f>SUM(L123)</f>
        <v>0</v>
      </c>
      <c r="M122" s="43"/>
      <c r="N122" s="43">
        <f>SUM(N123)</f>
        <v>0</v>
      </c>
      <c r="O122" s="43">
        <f t="shared" ref="O122" si="135">SUM(O123)</f>
        <v>0</v>
      </c>
      <c r="P122" s="43">
        <f t="shared" ref="P122" si="136">SUM(P123)</f>
        <v>0</v>
      </c>
      <c r="Q122" s="43"/>
    </row>
    <row r="123" spans="2:17" x14ac:dyDescent="0.3">
      <c r="B123" s="27"/>
      <c r="C123" s="17"/>
      <c r="D123" s="3">
        <v>6418</v>
      </c>
      <c r="E123" s="3" t="s">
        <v>272</v>
      </c>
      <c r="F123" s="35">
        <f>'DEPENSES PROGRAMME I'!K123</f>
        <v>0</v>
      </c>
      <c r="G123" s="35">
        <f>'DEPENSES PROGRAMME II'!K123</f>
        <v>0</v>
      </c>
      <c r="H123" s="35">
        <f>'DEPENSES PROGRAMME III'!K123</f>
        <v>0</v>
      </c>
      <c r="I123" s="35"/>
      <c r="J123" s="35">
        <f>'DEPENSES PROGRAMME I'!L123</f>
        <v>0</v>
      </c>
      <c r="K123" s="35">
        <f>'DEPENSES PROGRAMME II'!L123</f>
        <v>0</v>
      </c>
      <c r="L123" s="35">
        <f>'DEPENSES PROGRAMME III'!L123</f>
        <v>0</v>
      </c>
      <c r="M123" s="35"/>
      <c r="N123" s="35">
        <f>'DEPENSES PROGRAMME I'!M123</f>
        <v>0</v>
      </c>
      <c r="O123" s="35">
        <f>'DEPENSES PROGRAMME II'!M123</f>
        <v>0</v>
      </c>
      <c r="P123" s="35">
        <f>'DEPENSES PROGRAMME III'!M123</f>
        <v>0</v>
      </c>
      <c r="Q123" s="35"/>
    </row>
    <row r="124" spans="2:17" s="10" customFormat="1" x14ac:dyDescent="0.3">
      <c r="B124" s="27"/>
      <c r="C124" s="17">
        <v>642</v>
      </c>
      <c r="D124" s="17"/>
      <c r="E124" s="17" t="s">
        <v>273</v>
      </c>
      <c r="F124" s="43">
        <f>SUM(F125)</f>
        <v>0</v>
      </c>
      <c r="G124" s="43">
        <f t="shared" ref="G124:H124" si="137">SUM(G125)</f>
        <v>0</v>
      </c>
      <c r="H124" s="43">
        <f t="shared" si="137"/>
        <v>0</v>
      </c>
      <c r="I124" s="43"/>
      <c r="J124" s="43">
        <f>SUM(J125)</f>
        <v>0</v>
      </c>
      <c r="K124" s="43">
        <f t="shared" ref="K124" si="138">SUM(K125)</f>
        <v>0</v>
      </c>
      <c r="L124" s="43">
        <f t="shared" ref="L124" si="139">SUM(L125)</f>
        <v>0</v>
      </c>
      <c r="M124" s="43"/>
      <c r="N124" s="43">
        <f>SUM(N125)</f>
        <v>0</v>
      </c>
      <c r="O124" s="43">
        <f t="shared" ref="O124" si="140">SUM(O125)</f>
        <v>0</v>
      </c>
      <c r="P124" s="43">
        <f t="shared" ref="P124" si="141">SUM(P125)</f>
        <v>0</v>
      </c>
      <c r="Q124" s="43"/>
    </row>
    <row r="125" spans="2:17" x14ac:dyDescent="0.3">
      <c r="B125" s="27"/>
      <c r="C125" s="17"/>
      <c r="D125" s="3">
        <v>6420</v>
      </c>
      <c r="E125" s="3" t="s">
        <v>273</v>
      </c>
      <c r="F125" s="35">
        <f>'DEPENSES PROGRAMME I'!K125</f>
        <v>0</v>
      </c>
      <c r="G125" s="35">
        <f>'DEPENSES PROGRAMME II'!K125</f>
        <v>0</v>
      </c>
      <c r="H125" s="35">
        <f>'DEPENSES PROGRAMME III'!K125</f>
        <v>0</v>
      </c>
      <c r="I125" s="35"/>
      <c r="J125" s="35">
        <f>'DEPENSES PROGRAMME I'!L125</f>
        <v>0</v>
      </c>
      <c r="K125" s="35">
        <f>'DEPENSES PROGRAMME II'!L125</f>
        <v>0</v>
      </c>
      <c r="L125" s="35">
        <f>'DEPENSES PROGRAMME III'!L125</f>
        <v>0</v>
      </c>
      <c r="M125" s="35"/>
      <c r="N125" s="35">
        <f>'DEPENSES PROGRAMME I'!M125</f>
        <v>0</v>
      </c>
      <c r="O125" s="35">
        <f>'DEPENSES PROGRAMME II'!M125</f>
        <v>0</v>
      </c>
      <c r="P125" s="35">
        <f>'DEPENSES PROGRAMME III'!M125</f>
        <v>0</v>
      </c>
      <c r="Q125" s="35"/>
    </row>
    <row r="126" spans="2:17" s="10" customFormat="1" x14ac:dyDescent="0.3">
      <c r="B126" s="27"/>
      <c r="C126" s="17">
        <v>643</v>
      </c>
      <c r="D126" s="17"/>
      <c r="E126" s="17" t="s">
        <v>274</v>
      </c>
      <c r="F126" s="43">
        <f>SUM(F127)</f>
        <v>0</v>
      </c>
      <c r="G126" s="43">
        <f t="shared" ref="G126:H126" si="142">SUM(G127)</f>
        <v>0</v>
      </c>
      <c r="H126" s="43">
        <f t="shared" si="142"/>
        <v>0</v>
      </c>
      <c r="I126" s="43"/>
      <c r="J126" s="43">
        <f>SUM(J127)</f>
        <v>0</v>
      </c>
      <c r="K126" s="43">
        <f t="shared" ref="K126" si="143">SUM(K127)</f>
        <v>0</v>
      </c>
      <c r="L126" s="43">
        <f t="shared" ref="L126" si="144">SUM(L127)</f>
        <v>0</v>
      </c>
      <c r="M126" s="43"/>
      <c r="N126" s="43">
        <f>SUM(N127)</f>
        <v>0</v>
      </c>
      <c r="O126" s="43">
        <f t="shared" ref="O126" si="145">SUM(O127)</f>
        <v>0</v>
      </c>
      <c r="P126" s="43">
        <f t="shared" ref="P126" si="146">SUM(P127)</f>
        <v>0</v>
      </c>
      <c r="Q126" s="43"/>
    </row>
    <row r="127" spans="2:17" x14ac:dyDescent="0.3">
      <c r="B127" s="27"/>
      <c r="C127" s="17"/>
      <c r="D127" s="3">
        <v>6430</v>
      </c>
      <c r="E127" s="3" t="s">
        <v>274</v>
      </c>
      <c r="F127" s="35">
        <f>'DEPENSES PROGRAMME I'!K127</f>
        <v>0</v>
      </c>
      <c r="G127" s="35">
        <f>'DEPENSES PROGRAMME II'!K127</f>
        <v>0</v>
      </c>
      <c r="H127" s="35">
        <f>'DEPENSES PROGRAMME III'!K127</f>
        <v>0</v>
      </c>
      <c r="I127" s="35"/>
      <c r="J127" s="35">
        <f>'DEPENSES PROGRAMME I'!L127</f>
        <v>0</v>
      </c>
      <c r="K127" s="35">
        <f>'DEPENSES PROGRAMME II'!L127</f>
        <v>0</v>
      </c>
      <c r="L127" s="35">
        <f>'DEPENSES PROGRAMME III'!L127</f>
        <v>0</v>
      </c>
      <c r="M127" s="35"/>
      <c r="N127" s="35">
        <f>'DEPENSES PROGRAMME I'!M127</f>
        <v>0</v>
      </c>
      <c r="O127" s="35">
        <f>'DEPENSES PROGRAMME II'!M127</f>
        <v>0</v>
      </c>
      <c r="P127" s="35">
        <f>'DEPENSES PROGRAMME III'!M127</f>
        <v>0</v>
      </c>
      <c r="Q127" s="35"/>
    </row>
    <row r="128" spans="2:17" s="10" customFormat="1" x14ac:dyDescent="0.3">
      <c r="B128" s="27"/>
      <c r="C128" s="17">
        <v>644</v>
      </c>
      <c r="D128" s="17"/>
      <c r="E128" s="17" t="s">
        <v>275</v>
      </c>
      <c r="F128" s="43">
        <f>SUM(F129)</f>
        <v>0</v>
      </c>
      <c r="G128" s="43">
        <f t="shared" ref="G128:H128" si="147">SUM(G129)</f>
        <v>0</v>
      </c>
      <c r="H128" s="43">
        <f t="shared" si="147"/>
        <v>0</v>
      </c>
      <c r="I128" s="43"/>
      <c r="J128" s="43">
        <f>SUM(J129)</f>
        <v>0</v>
      </c>
      <c r="K128" s="43">
        <f t="shared" ref="K128" si="148">SUM(K129)</f>
        <v>0</v>
      </c>
      <c r="L128" s="43">
        <f t="shared" ref="L128" si="149">SUM(L129)</f>
        <v>0</v>
      </c>
      <c r="M128" s="43"/>
      <c r="N128" s="43">
        <f>SUM(N129)</f>
        <v>0</v>
      </c>
      <c r="O128" s="43">
        <f t="shared" ref="O128" si="150">SUM(O129)</f>
        <v>0</v>
      </c>
      <c r="P128" s="43">
        <f t="shared" ref="P128" si="151">SUM(P129)</f>
        <v>0</v>
      </c>
      <c r="Q128" s="43"/>
    </row>
    <row r="129" spans="2:17" x14ac:dyDescent="0.3">
      <c r="B129" s="27"/>
      <c r="C129" s="17"/>
      <c r="D129" s="3">
        <v>6440</v>
      </c>
      <c r="E129" s="3" t="s">
        <v>275</v>
      </c>
      <c r="F129" s="35">
        <f>'DEPENSES PROGRAMME I'!K129</f>
        <v>0</v>
      </c>
      <c r="G129" s="35">
        <f>'DEPENSES PROGRAMME II'!K129</f>
        <v>0</v>
      </c>
      <c r="H129" s="35">
        <f>'DEPENSES PROGRAMME III'!K129</f>
        <v>0</v>
      </c>
      <c r="I129" s="35"/>
      <c r="J129" s="35">
        <f>'DEPENSES PROGRAMME I'!L129</f>
        <v>0</v>
      </c>
      <c r="K129" s="35">
        <f>'DEPENSES PROGRAMME II'!L129</f>
        <v>0</v>
      </c>
      <c r="L129" s="35">
        <f>'DEPENSES PROGRAMME III'!L129</f>
        <v>0</v>
      </c>
      <c r="M129" s="35"/>
      <c r="N129" s="35">
        <f>'DEPENSES PROGRAMME I'!M129</f>
        <v>0</v>
      </c>
      <c r="O129" s="35">
        <f>'DEPENSES PROGRAMME II'!M129</f>
        <v>0</v>
      </c>
      <c r="P129" s="35">
        <f>'DEPENSES PROGRAMME III'!M129</f>
        <v>0</v>
      </c>
      <c r="Q129" s="35"/>
    </row>
    <row r="130" spans="2:17" s="10" customFormat="1" x14ac:dyDescent="0.3">
      <c r="B130" s="27"/>
      <c r="C130" s="17">
        <v>648</v>
      </c>
      <c r="D130" s="17"/>
      <c r="E130" s="17" t="s">
        <v>276</v>
      </c>
      <c r="F130" s="43">
        <f>SUM(F131)</f>
        <v>0</v>
      </c>
      <c r="G130" s="43">
        <f t="shared" ref="G130:H130" si="152">SUM(G131)</f>
        <v>0</v>
      </c>
      <c r="H130" s="43">
        <f t="shared" si="152"/>
        <v>0</v>
      </c>
      <c r="I130" s="43"/>
      <c r="J130" s="43">
        <f>SUM(J131)</f>
        <v>0</v>
      </c>
      <c r="K130" s="43">
        <f t="shared" ref="K130" si="153">SUM(K131)</f>
        <v>0</v>
      </c>
      <c r="L130" s="43">
        <f t="shared" ref="L130" si="154">SUM(L131)</f>
        <v>0</v>
      </c>
      <c r="M130" s="43"/>
      <c r="N130" s="43">
        <f>SUM(N131)</f>
        <v>0</v>
      </c>
      <c r="O130" s="43">
        <f t="shared" ref="O130" si="155">SUM(O131)</f>
        <v>0</v>
      </c>
      <c r="P130" s="43">
        <f t="shared" ref="P130" si="156">SUM(P131)</f>
        <v>0</v>
      </c>
      <c r="Q130" s="43"/>
    </row>
    <row r="131" spans="2:17" x14ac:dyDescent="0.3">
      <c r="B131" s="27"/>
      <c r="C131" s="17"/>
      <c r="D131" s="3">
        <v>6480</v>
      </c>
      <c r="E131" s="3" t="s">
        <v>276</v>
      </c>
      <c r="F131" s="35">
        <f>'DEPENSES PROGRAMME I'!K131</f>
        <v>0</v>
      </c>
      <c r="G131" s="35">
        <f>'DEPENSES PROGRAMME II'!K131</f>
        <v>0</v>
      </c>
      <c r="H131" s="35">
        <f>'DEPENSES PROGRAMME III'!K131</f>
        <v>0</v>
      </c>
      <c r="I131" s="35"/>
      <c r="J131" s="35">
        <f>'DEPENSES PROGRAMME I'!L131</f>
        <v>0</v>
      </c>
      <c r="K131" s="35">
        <f>'DEPENSES PROGRAMME II'!L131</f>
        <v>0</v>
      </c>
      <c r="L131" s="35">
        <f>'DEPENSES PROGRAMME III'!L131</f>
        <v>0</v>
      </c>
      <c r="M131" s="35"/>
      <c r="N131" s="35">
        <f>'DEPENSES PROGRAMME I'!M131</f>
        <v>0</v>
      </c>
      <c r="O131" s="35">
        <f>'DEPENSES PROGRAMME II'!M131</f>
        <v>0</v>
      </c>
      <c r="P131" s="35">
        <f>'DEPENSES PROGRAMME III'!M131</f>
        <v>0</v>
      </c>
      <c r="Q131" s="35"/>
    </row>
    <row r="132" spans="2:17" s="10" customFormat="1" ht="30" customHeight="1" x14ac:dyDescent="0.3">
      <c r="B132" s="27">
        <v>65</v>
      </c>
      <c r="C132" s="17"/>
      <c r="D132" s="17"/>
      <c r="E132" s="17" t="s">
        <v>158</v>
      </c>
      <c r="F132" s="43">
        <f>SUM(F133,F140,F142,F144)</f>
        <v>0</v>
      </c>
      <c r="G132" s="43">
        <f t="shared" ref="G132:H132" si="157">SUM(G133,G140,G142,G144)</f>
        <v>0</v>
      </c>
      <c r="H132" s="43">
        <f t="shared" si="157"/>
        <v>0</v>
      </c>
      <c r="I132" s="43">
        <f>SUM(F132,G132,H132)</f>
        <v>0</v>
      </c>
      <c r="J132" s="43">
        <f>SUM(J133,J140,J142,J144)</f>
        <v>0</v>
      </c>
      <c r="K132" s="43">
        <f t="shared" ref="K132" si="158">SUM(K133,K140,K142,K144)</f>
        <v>0</v>
      </c>
      <c r="L132" s="43">
        <f t="shared" ref="L132" si="159">SUM(L133,L140,L142,L144)</f>
        <v>0</v>
      </c>
      <c r="M132" s="43">
        <f>SUM(J132,K132,L132)</f>
        <v>0</v>
      </c>
      <c r="N132" s="43">
        <f>SUM(N133,N140,N142,N144)</f>
        <v>0</v>
      </c>
      <c r="O132" s="43">
        <f t="shared" ref="O132" si="160">SUM(O133,O140,O142,O144)</f>
        <v>0</v>
      </c>
      <c r="P132" s="43">
        <f t="shared" ref="P132" si="161">SUM(P133,P140,P142,P144)</f>
        <v>0</v>
      </c>
      <c r="Q132" s="43">
        <f>SUM(N132,O132,P132)</f>
        <v>0</v>
      </c>
    </row>
    <row r="133" spans="2:17" x14ac:dyDescent="0.3">
      <c r="B133" s="27"/>
      <c r="C133" s="17">
        <v>651</v>
      </c>
      <c r="D133" s="3"/>
      <c r="E133" s="17" t="s">
        <v>277</v>
      </c>
      <c r="F133" s="35">
        <f>SUM(F134:F139)</f>
        <v>0</v>
      </c>
      <c r="G133" s="35">
        <f t="shared" ref="G133:H133" si="162">SUM(G134:G139)</f>
        <v>0</v>
      </c>
      <c r="H133" s="35">
        <f t="shared" si="162"/>
        <v>0</v>
      </c>
      <c r="I133" s="35"/>
      <c r="J133" s="35">
        <f>SUM(J134:J139)</f>
        <v>0</v>
      </c>
      <c r="K133" s="35">
        <f t="shared" ref="K133" si="163">SUM(K134:K139)</f>
        <v>0</v>
      </c>
      <c r="L133" s="35">
        <f t="shared" ref="L133" si="164">SUM(L134:L139)</f>
        <v>0</v>
      </c>
      <c r="M133" s="35"/>
      <c r="N133" s="35">
        <f>SUM(N134:N139)</f>
        <v>0</v>
      </c>
      <c r="O133" s="35">
        <f t="shared" ref="O133" si="165">SUM(O134:O139)</f>
        <v>0</v>
      </c>
      <c r="P133" s="35">
        <f t="shared" ref="P133" si="166">SUM(P134:P139)</f>
        <v>0</v>
      </c>
      <c r="Q133" s="35"/>
    </row>
    <row r="134" spans="2:17" x14ac:dyDescent="0.3">
      <c r="B134" s="27"/>
      <c r="C134" s="17"/>
      <c r="D134" s="3">
        <v>6510</v>
      </c>
      <c r="E134" s="3" t="s">
        <v>277</v>
      </c>
      <c r="F134" s="35">
        <f>'DEPENSES PROGRAMME I'!K134</f>
        <v>0</v>
      </c>
      <c r="G134" s="35">
        <f>'DEPENSES PROGRAMME II'!K134</f>
        <v>0</v>
      </c>
      <c r="H134" s="35">
        <f>'DEPENSES PROGRAMME III'!K134</f>
        <v>0</v>
      </c>
      <c r="I134" s="35"/>
      <c r="J134" s="35">
        <f>'DEPENSES PROGRAMME I'!L134</f>
        <v>0</v>
      </c>
      <c r="K134" s="35">
        <f>'DEPENSES PROGRAMME II'!L134</f>
        <v>0</v>
      </c>
      <c r="L134" s="35">
        <f>'DEPENSES PROGRAMME III'!L134</f>
        <v>0</v>
      </c>
      <c r="M134" s="35"/>
      <c r="N134" s="35">
        <f>'DEPENSES PROGRAMME I'!M134</f>
        <v>0</v>
      </c>
      <c r="O134" s="35">
        <f>'DEPENSES PROGRAMME II'!M134</f>
        <v>0</v>
      </c>
      <c r="P134" s="35">
        <f>'DEPENSES PROGRAMME III'!M134</f>
        <v>0</v>
      </c>
      <c r="Q134" s="35"/>
    </row>
    <row r="135" spans="2:17" x14ac:dyDescent="0.3">
      <c r="B135" s="27"/>
      <c r="C135" s="17">
        <v>653</v>
      </c>
      <c r="D135" s="3"/>
      <c r="E135" s="3" t="s">
        <v>278</v>
      </c>
      <c r="F135" s="35">
        <f>'DEPENSES PROGRAMME I'!K135</f>
        <v>0</v>
      </c>
      <c r="G135" s="35">
        <f>'DEPENSES PROGRAMME II'!K135</f>
        <v>0</v>
      </c>
      <c r="H135" s="35">
        <f>'DEPENSES PROGRAMME III'!K135</f>
        <v>0</v>
      </c>
      <c r="I135" s="35"/>
      <c r="J135" s="35">
        <f>'DEPENSES PROGRAMME I'!L135</f>
        <v>0</v>
      </c>
      <c r="K135" s="35">
        <f>'DEPENSES PROGRAMME II'!L135</f>
        <v>0</v>
      </c>
      <c r="L135" s="35">
        <f>'DEPENSES PROGRAMME III'!L135</f>
        <v>0</v>
      </c>
      <c r="M135" s="35"/>
      <c r="N135" s="35">
        <f>'DEPENSES PROGRAMME I'!M135</f>
        <v>0</v>
      </c>
      <c r="O135" s="35">
        <f>'DEPENSES PROGRAMME II'!M135</f>
        <v>0</v>
      </c>
      <c r="P135" s="35">
        <f>'DEPENSES PROGRAMME III'!M135</f>
        <v>0</v>
      </c>
      <c r="Q135" s="35"/>
    </row>
    <row r="136" spans="2:17" x14ac:dyDescent="0.3">
      <c r="B136" s="27"/>
      <c r="C136" s="17"/>
      <c r="D136" s="3">
        <v>6531</v>
      </c>
      <c r="E136" s="3" t="s">
        <v>279</v>
      </c>
      <c r="F136" s="35">
        <f>'DEPENSES PROGRAMME I'!K136</f>
        <v>0</v>
      </c>
      <c r="G136" s="35">
        <f>'DEPENSES PROGRAMME II'!K136</f>
        <v>0</v>
      </c>
      <c r="H136" s="35">
        <f>'DEPENSES PROGRAMME III'!K136</f>
        <v>0</v>
      </c>
      <c r="I136" s="35"/>
      <c r="J136" s="35">
        <f>'DEPENSES PROGRAMME I'!L136</f>
        <v>0</v>
      </c>
      <c r="K136" s="35">
        <f>'DEPENSES PROGRAMME II'!L136</f>
        <v>0</v>
      </c>
      <c r="L136" s="35">
        <f>'DEPENSES PROGRAMME III'!L136</f>
        <v>0</v>
      </c>
      <c r="M136" s="35"/>
      <c r="N136" s="35">
        <f>'DEPENSES PROGRAMME I'!M136</f>
        <v>0</v>
      </c>
      <c r="O136" s="35">
        <f>'DEPENSES PROGRAMME II'!M136</f>
        <v>0</v>
      </c>
      <c r="P136" s="35">
        <f>'DEPENSES PROGRAMME III'!M136</f>
        <v>0</v>
      </c>
      <c r="Q136" s="35"/>
    </row>
    <row r="137" spans="2:17" x14ac:dyDescent="0.3">
      <c r="B137" s="27"/>
      <c r="C137" s="17"/>
      <c r="D137" s="3">
        <v>6532</v>
      </c>
      <c r="E137" s="3" t="s">
        <v>280</v>
      </c>
      <c r="F137" s="35">
        <f>'DEPENSES PROGRAMME I'!K137</f>
        <v>0</v>
      </c>
      <c r="G137" s="35">
        <f>'DEPENSES PROGRAMME II'!K137</f>
        <v>0</v>
      </c>
      <c r="H137" s="35">
        <f>'DEPENSES PROGRAMME III'!K137</f>
        <v>0</v>
      </c>
      <c r="I137" s="35"/>
      <c r="J137" s="35">
        <f>'DEPENSES PROGRAMME I'!L137</f>
        <v>0</v>
      </c>
      <c r="K137" s="35">
        <f>'DEPENSES PROGRAMME II'!L137</f>
        <v>0</v>
      </c>
      <c r="L137" s="35">
        <f>'DEPENSES PROGRAMME III'!L137</f>
        <v>0</v>
      </c>
      <c r="M137" s="35"/>
      <c r="N137" s="35">
        <f>'DEPENSES PROGRAMME I'!M137</f>
        <v>0</v>
      </c>
      <c r="O137" s="35">
        <f>'DEPENSES PROGRAMME II'!M137</f>
        <v>0</v>
      </c>
      <c r="P137" s="35">
        <f>'DEPENSES PROGRAMME III'!M137</f>
        <v>0</v>
      </c>
      <c r="Q137" s="35"/>
    </row>
    <row r="138" spans="2:17" x14ac:dyDescent="0.3">
      <c r="B138" s="3"/>
      <c r="C138" s="3"/>
      <c r="D138" s="3">
        <v>6533</v>
      </c>
      <c r="E138" s="3" t="s">
        <v>281</v>
      </c>
      <c r="F138" s="35">
        <f>'DEPENSES PROGRAMME I'!K138</f>
        <v>0</v>
      </c>
      <c r="G138" s="35">
        <f>'DEPENSES PROGRAMME II'!K138</f>
        <v>0</v>
      </c>
      <c r="H138" s="35">
        <f>'DEPENSES PROGRAMME III'!K138</f>
        <v>0</v>
      </c>
      <c r="I138" s="35"/>
      <c r="J138" s="35">
        <f>'DEPENSES PROGRAMME I'!L138</f>
        <v>0</v>
      </c>
      <c r="K138" s="35">
        <f>'DEPENSES PROGRAMME II'!L138</f>
        <v>0</v>
      </c>
      <c r="L138" s="35">
        <f>'DEPENSES PROGRAMME III'!L138</f>
        <v>0</v>
      </c>
      <c r="M138" s="35"/>
      <c r="N138" s="35">
        <f>'DEPENSES PROGRAMME I'!M138</f>
        <v>0</v>
      </c>
      <c r="O138" s="35">
        <f>'DEPENSES PROGRAMME II'!M138</f>
        <v>0</v>
      </c>
      <c r="P138" s="35">
        <f>'DEPENSES PROGRAMME III'!M138</f>
        <v>0</v>
      </c>
      <c r="Q138" s="35"/>
    </row>
    <row r="139" spans="2:17" x14ac:dyDescent="0.3">
      <c r="B139" s="27"/>
      <c r="C139" s="17"/>
      <c r="D139" s="3">
        <v>6534</v>
      </c>
      <c r="E139" s="3" t="s">
        <v>282</v>
      </c>
      <c r="F139" s="35">
        <f>'DEPENSES PROGRAMME I'!K139</f>
        <v>0</v>
      </c>
      <c r="G139" s="35">
        <f>'DEPENSES PROGRAMME II'!K139</f>
        <v>0</v>
      </c>
      <c r="H139" s="35">
        <f>'DEPENSES PROGRAMME III'!K139</f>
        <v>0</v>
      </c>
      <c r="I139" s="35"/>
      <c r="J139" s="35">
        <f>'DEPENSES PROGRAMME I'!L139</f>
        <v>0</v>
      </c>
      <c r="K139" s="35">
        <f>'DEPENSES PROGRAMME II'!L139</f>
        <v>0</v>
      </c>
      <c r="L139" s="35">
        <f>'DEPENSES PROGRAMME III'!L139</f>
        <v>0</v>
      </c>
      <c r="M139" s="35"/>
      <c r="N139" s="35">
        <f>'DEPENSES PROGRAMME I'!M139</f>
        <v>0</v>
      </c>
      <c r="O139" s="35">
        <f>'DEPENSES PROGRAMME II'!M139</f>
        <v>0</v>
      </c>
      <c r="P139" s="35">
        <f>'DEPENSES PROGRAMME III'!M139</f>
        <v>0</v>
      </c>
      <c r="Q139" s="35"/>
    </row>
    <row r="140" spans="2:17" x14ac:dyDescent="0.3">
      <c r="B140" s="27"/>
      <c r="C140" s="17">
        <v>654</v>
      </c>
      <c r="D140" s="3"/>
      <c r="E140" s="17" t="s">
        <v>283</v>
      </c>
      <c r="F140" s="35">
        <f>SUM(F141)</f>
        <v>0</v>
      </c>
      <c r="G140" s="35">
        <f t="shared" ref="G140:H140" si="167">SUM(G141)</f>
        <v>0</v>
      </c>
      <c r="H140" s="35">
        <f t="shared" si="167"/>
        <v>0</v>
      </c>
      <c r="I140" s="35"/>
      <c r="J140" s="35">
        <f>SUM(J141)</f>
        <v>0</v>
      </c>
      <c r="K140" s="35">
        <f t="shared" ref="K140" si="168">SUM(K141)</f>
        <v>0</v>
      </c>
      <c r="L140" s="35">
        <f t="shared" ref="L140" si="169">SUM(L141)</f>
        <v>0</v>
      </c>
      <c r="M140" s="35"/>
      <c r="N140" s="35">
        <f>SUM(N141)</f>
        <v>0</v>
      </c>
      <c r="O140" s="35">
        <f t="shared" ref="O140" si="170">SUM(O141)</f>
        <v>0</v>
      </c>
      <c r="P140" s="35">
        <f t="shared" ref="P140" si="171">SUM(P141)</f>
        <v>0</v>
      </c>
      <c r="Q140" s="35"/>
    </row>
    <row r="141" spans="2:17" x14ac:dyDescent="0.3">
      <c r="B141" s="27"/>
      <c r="C141" s="17"/>
      <c r="D141" s="3">
        <v>6540</v>
      </c>
      <c r="E141" s="3" t="s">
        <v>283</v>
      </c>
      <c r="F141" s="35">
        <f>'DEPENSES PROGRAMME I'!K141</f>
        <v>0</v>
      </c>
      <c r="G141" s="35">
        <f>'DEPENSES PROGRAMME II'!K141</f>
        <v>0</v>
      </c>
      <c r="H141" s="35">
        <f>'DEPENSES PROGRAMME III'!K141</f>
        <v>0</v>
      </c>
      <c r="I141" s="35"/>
      <c r="J141" s="35">
        <f>'DEPENSES PROGRAMME I'!L141</f>
        <v>0</v>
      </c>
      <c r="K141" s="35">
        <f>'DEPENSES PROGRAMME II'!L141</f>
        <v>0</v>
      </c>
      <c r="L141" s="35">
        <f>'DEPENSES PROGRAMME III'!L141</f>
        <v>0</v>
      </c>
      <c r="M141" s="35"/>
      <c r="N141" s="35">
        <f>'DEPENSES PROGRAMME I'!M141</f>
        <v>0</v>
      </c>
      <c r="O141" s="35">
        <f>'DEPENSES PROGRAMME II'!M141</f>
        <v>0</v>
      </c>
      <c r="P141" s="35">
        <f>'DEPENSES PROGRAMME III'!M141</f>
        <v>0</v>
      </c>
      <c r="Q141" s="35"/>
    </row>
    <row r="142" spans="2:17" x14ac:dyDescent="0.3">
      <c r="B142" s="27"/>
      <c r="C142" s="17">
        <v>655</v>
      </c>
      <c r="D142" s="3"/>
      <c r="E142" s="17" t="s">
        <v>284</v>
      </c>
      <c r="F142" s="35">
        <f>SUM(F143)</f>
        <v>0</v>
      </c>
      <c r="G142" s="35">
        <f t="shared" ref="G142:H142" si="172">SUM(G143)</f>
        <v>0</v>
      </c>
      <c r="H142" s="35">
        <f t="shared" si="172"/>
        <v>0</v>
      </c>
      <c r="I142" s="35"/>
      <c r="J142" s="35">
        <f>SUM(J143)</f>
        <v>0</v>
      </c>
      <c r="K142" s="35">
        <f t="shared" ref="K142" si="173">SUM(K143)</f>
        <v>0</v>
      </c>
      <c r="L142" s="35">
        <f t="shared" ref="L142" si="174">SUM(L143)</f>
        <v>0</v>
      </c>
      <c r="M142" s="35"/>
      <c r="N142" s="35">
        <f>SUM(N143)</f>
        <v>0</v>
      </c>
      <c r="O142" s="35">
        <f t="shared" ref="O142" si="175">SUM(O143)</f>
        <v>0</v>
      </c>
      <c r="P142" s="35">
        <f t="shared" ref="P142" si="176">SUM(P143)</f>
        <v>0</v>
      </c>
      <c r="Q142" s="35"/>
    </row>
    <row r="143" spans="2:17" x14ac:dyDescent="0.3">
      <c r="B143" s="27"/>
      <c r="C143" s="17"/>
      <c r="D143" s="3">
        <v>6550</v>
      </c>
      <c r="E143" s="3" t="s">
        <v>284</v>
      </c>
      <c r="F143" s="35">
        <f>'DEPENSES PROGRAMME I'!K143</f>
        <v>0</v>
      </c>
      <c r="G143" s="35">
        <f>'DEPENSES PROGRAMME II'!K143</f>
        <v>0</v>
      </c>
      <c r="H143" s="35">
        <f>'DEPENSES PROGRAMME III'!K143</f>
        <v>0</v>
      </c>
      <c r="I143" s="35"/>
      <c r="J143" s="35">
        <f>'DEPENSES PROGRAMME I'!L143</f>
        <v>0</v>
      </c>
      <c r="K143" s="35">
        <f>'DEPENSES PROGRAMME II'!L143</f>
        <v>0</v>
      </c>
      <c r="L143" s="35">
        <f>'DEPENSES PROGRAMME III'!L143</f>
        <v>0</v>
      </c>
      <c r="M143" s="35"/>
      <c r="N143" s="35">
        <f>'DEPENSES PROGRAMME I'!M143</f>
        <v>0</v>
      </c>
      <c r="O143" s="35">
        <f>'DEPENSES PROGRAMME II'!M143</f>
        <v>0</v>
      </c>
      <c r="P143" s="35">
        <f>'DEPENSES PROGRAMME III'!M143</f>
        <v>0</v>
      </c>
      <c r="Q143" s="35"/>
    </row>
    <row r="144" spans="2:17" x14ac:dyDescent="0.3">
      <c r="B144" s="27"/>
      <c r="C144" s="17">
        <v>656</v>
      </c>
      <c r="D144" s="3"/>
      <c r="E144" s="17" t="s">
        <v>285</v>
      </c>
      <c r="F144" s="35">
        <f>SUM(F145:F149)</f>
        <v>0</v>
      </c>
      <c r="G144" s="35">
        <f t="shared" ref="G144:H144" si="177">SUM(G145:G149)</f>
        <v>0</v>
      </c>
      <c r="H144" s="35">
        <f t="shared" si="177"/>
        <v>0</v>
      </c>
      <c r="I144" s="35"/>
      <c r="J144" s="35">
        <f>SUM(J145:J149)</f>
        <v>0</v>
      </c>
      <c r="K144" s="35">
        <f t="shared" ref="K144" si="178">SUM(K145:K149)</f>
        <v>0</v>
      </c>
      <c r="L144" s="35">
        <f t="shared" ref="L144" si="179">SUM(L145:L149)</f>
        <v>0</v>
      </c>
      <c r="M144" s="35"/>
      <c r="N144" s="35">
        <f>SUM(N145:N149)</f>
        <v>0</v>
      </c>
      <c r="O144" s="35">
        <f t="shared" ref="O144" si="180">SUM(O145:O149)</f>
        <v>0</v>
      </c>
      <c r="P144" s="35">
        <f t="shared" ref="P144" si="181">SUM(P145:P149)</f>
        <v>0</v>
      </c>
      <c r="Q144" s="35"/>
    </row>
    <row r="145" spans="2:17" x14ac:dyDescent="0.3">
      <c r="B145" s="27"/>
      <c r="C145" s="17"/>
      <c r="D145" s="3">
        <v>6561</v>
      </c>
      <c r="E145" s="3" t="s">
        <v>286</v>
      </c>
      <c r="F145" s="35">
        <f>'DEPENSES PROGRAMME I'!K145</f>
        <v>0</v>
      </c>
      <c r="G145" s="35">
        <f>'DEPENSES PROGRAMME II'!K145</f>
        <v>0</v>
      </c>
      <c r="H145" s="35">
        <f>'DEPENSES PROGRAMME III'!K145</f>
        <v>0</v>
      </c>
      <c r="I145" s="35"/>
      <c r="J145" s="35">
        <f>'DEPENSES PROGRAMME I'!L145</f>
        <v>0</v>
      </c>
      <c r="K145" s="35">
        <f>'DEPENSES PROGRAMME II'!L145</f>
        <v>0</v>
      </c>
      <c r="L145" s="35">
        <f>'DEPENSES PROGRAMME III'!L145</f>
        <v>0</v>
      </c>
      <c r="M145" s="35"/>
      <c r="N145" s="35">
        <f>'DEPENSES PROGRAMME I'!M145</f>
        <v>0</v>
      </c>
      <c r="O145" s="35">
        <f>'DEPENSES PROGRAMME II'!M145</f>
        <v>0</v>
      </c>
      <c r="P145" s="35">
        <f>'DEPENSES PROGRAMME III'!M145</f>
        <v>0</v>
      </c>
      <c r="Q145" s="35"/>
    </row>
    <row r="146" spans="2:17" x14ac:dyDescent="0.3">
      <c r="B146" s="27"/>
      <c r="C146" s="17"/>
      <c r="D146" s="3">
        <v>6562</v>
      </c>
      <c r="E146" s="3" t="s">
        <v>287</v>
      </c>
      <c r="F146" s="35">
        <f>'DEPENSES PROGRAMME I'!K146</f>
        <v>0</v>
      </c>
      <c r="G146" s="35">
        <f>'DEPENSES PROGRAMME II'!K146</f>
        <v>0</v>
      </c>
      <c r="H146" s="35">
        <f>'DEPENSES PROGRAMME III'!K146</f>
        <v>0</v>
      </c>
      <c r="I146" s="35"/>
      <c r="J146" s="35">
        <f>'DEPENSES PROGRAMME I'!L146</f>
        <v>0</v>
      </c>
      <c r="K146" s="35">
        <f>'DEPENSES PROGRAMME II'!L146</f>
        <v>0</v>
      </c>
      <c r="L146" s="35">
        <f>'DEPENSES PROGRAMME III'!L146</f>
        <v>0</v>
      </c>
      <c r="M146" s="35"/>
      <c r="N146" s="35">
        <f>'DEPENSES PROGRAMME I'!M146</f>
        <v>0</v>
      </c>
      <c r="O146" s="35">
        <f>'DEPENSES PROGRAMME II'!M146</f>
        <v>0</v>
      </c>
      <c r="P146" s="35">
        <f>'DEPENSES PROGRAMME III'!M146</f>
        <v>0</v>
      </c>
      <c r="Q146" s="35"/>
    </row>
    <row r="147" spans="2:17" x14ac:dyDescent="0.3">
      <c r="B147" s="27"/>
      <c r="C147" s="17"/>
      <c r="D147" s="3">
        <v>6563</v>
      </c>
      <c r="E147" s="3" t="s">
        <v>288</v>
      </c>
      <c r="F147" s="35">
        <f>'DEPENSES PROGRAMME I'!K147</f>
        <v>0</v>
      </c>
      <c r="G147" s="35">
        <f>'DEPENSES PROGRAMME II'!K147</f>
        <v>0</v>
      </c>
      <c r="H147" s="35">
        <f>'DEPENSES PROGRAMME III'!K147</f>
        <v>0</v>
      </c>
      <c r="I147" s="35"/>
      <c r="J147" s="35">
        <f>'DEPENSES PROGRAMME I'!L147</f>
        <v>0</v>
      </c>
      <c r="K147" s="35">
        <f>'DEPENSES PROGRAMME II'!L147</f>
        <v>0</v>
      </c>
      <c r="L147" s="35">
        <f>'DEPENSES PROGRAMME III'!L147</f>
        <v>0</v>
      </c>
      <c r="M147" s="35"/>
      <c r="N147" s="35">
        <f>'DEPENSES PROGRAMME I'!M147</f>
        <v>0</v>
      </c>
      <c r="O147" s="35">
        <f>'DEPENSES PROGRAMME II'!M147</f>
        <v>0</v>
      </c>
      <c r="P147" s="35">
        <f>'DEPENSES PROGRAMME III'!M147</f>
        <v>0</v>
      </c>
      <c r="Q147" s="35"/>
    </row>
    <row r="148" spans="2:17" x14ac:dyDescent="0.3">
      <c r="B148" s="27"/>
      <c r="C148" s="17"/>
      <c r="D148" s="3">
        <v>6564</v>
      </c>
      <c r="E148" s="3" t="s">
        <v>289</v>
      </c>
      <c r="F148" s="35">
        <f>'DEPENSES PROGRAMME I'!K148</f>
        <v>0</v>
      </c>
      <c r="G148" s="35">
        <f>'DEPENSES PROGRAMME II'!K148</f>
        <v>0</v>
      </c>
      <c r="H148" s="35">
        <f>'DEPENSES PROGRAMME III'!K148</f>
        <v>0</v>
      </c>
      <c r="I148" s="35"/>
      <c r="J148" s="35">
        <f>'DEPENSES PROGRAMME I'!L148</f>
        <v>0</v>
      </c>
      <c r="K148" s="35">
        <f>'DEPENSES PROGRAMME II'!L148</f>
        <v>0</v>
      </c>
      <c r="L148" s="35">
        <f>'DEPENSES PROGRAMME III'!L148</f>
        <v>0</v>
      </c>
      <c r="M148" s="35"/>
      <c r="N148" s="35">
        <f>'DEPENSES PROGRAMME I'!M148</f>
        <v>0</v>
      </c>
      <c r="O148" s="35">
        <f>'DEPENSES PROGRAMME II'!M148</f>
        <v>0</v>
      </c>
      <c r="P148" s="35">
        <f>'DEPENSES PROGRAMME III'!M148</f>
        <v>0</v>
      </c>
      <c r="Q148" s="35"/>
    </row>
    <row r="149" spans="2:17" x14ac:dyDescent="0.3">
      <c r="B149" s="27"/>
      <c r="C149" s="17"/>
      <c r="D149" s="3">
        <v>6565</v>
      </c>
      <c r="E149" s="3" t="s">
        <v>290</v>
      </c>
      <c r="F149" s="35">
        <f>'DEPENSES PROGRAMME I'!K149</f>
        <v>0</v>
      </c>
      <c r="G149" s="35">
        <f>'DEPENSES PROGRAMME II'!K149</f>
        <v>0</v>
      </c>
      <c r="H149" s="35">
        <f>'DEPENSES PROGRAMME III'!K149</f>
        <v>0</v>
      </c>
      <c r="I149" s="35"/>
      <c r="J149" s="35">
        <f>'DEPENSES PROGRAMME I'!L149</f>
        <v>0</v>
      </c>
      <c r="K149" s="35">
        <f>'DEPENSES PROGRAMME II'!L149</f>
        <v>0</v>
      </c>
      <c r="L149" s="35">
        <f>'DEPENSES PROGRAMME III'!L149</f>
        <v>0</v>
      </c>
      <c r="M149" s="35"/>
      <c r="N149" s="35">
        <f>'DEPENSES PROGRAMME I'!M149</f>
        <v>0</v>
      </c>
      <c r="O149" s="35">
        <f>'DEPENSES PROGRAMME II'!M149</f>
        <v>0</v>
      </c>
      <c r="P149" s="35">
        <f>'DEPENSES PROGRAMME III'!M149</f>
        <v>0</v>
      </c>
      <c r="Q149" s="35"/>
    </row>
    <row r="150" spans="2:17" s="10" customFormat="1" ht="30" customHeight="1" x14ac:dyDescent="0.3">
      <c r="B150" s="27">
        <v>66</v>
      </c>
      <c r="C150" s="17"/>
      <c r="D150" s="17"/>
      <c r="E150" s="17" t="s">
        <v>159</v>
      </c>
      <c r="F150" s="43">
        <f>SUM(F151,F154,F157,F160,F162)</f>
        <v>0</v>
      </c>
      <c r="G150" s="43">
        <f t="shared" ref="G150:H150" si="182">SUM(G151,G154,G157,G160,G162)</f>
        <v>0</v>
      </c>
      <c r="H150" s="43">
        <f t="shared" si="182"/>
        <v>0</v>
      </c>
      <c r="I150" s="43">
        <f>SUM(F150,G150,H150)</f>
        <v>0</v>
      </c>
      <c r="J150" s="43">
        <f>SUM(J151,J154,J157,J160,J162)</f>
        <v>0</v>
      </c>
      <c r="K150" s="43">
        <f t="shared" ref="K150" si="183">SUM(K151,K154,K157,K160,K162)</f>
        <v>0</v>
      </c>
      <c r="L150" s="43">
        <f t="shared" ref="L150" si="184">SUM(L151,L154,L157,L160,L162)</f>
        <v>0</v>
      </c>
      <c r="M150" s="43">
        <f>SUM(J150,K150,L150)</f>
        <v>0</v>
      </c>
      <c r="N150" s="43">
        <f>SUM(N151,N154,N157,N160,N162)</f>
        <v>0</v>
      </c>
      <c r="O150" s="43">
        <f t="shared" ref="O150" si="185">SUM(O151,O154,O157,O160,O162)</f>
        <v>0</v>
      </c>
      <c r="P150" s="43">
        <f t="shared" ref="P150" si="186">SUM(P151,P154,P157,P160,P162)</f>
        <v>0</v>
      </c>
      <c r="Q150" s="43">
        <f>SUM(N150,O150,P150)</f>
        <v>0</v>
      </c>
    </row>
    <row r="151" spans="2:17" s="10" customFormat="1" x14ac:dyDescent="0.3">
      <c r="B151" s="27"/>
      <c r="C151" s="17">
        <v>661</v>
      </c>
      <c r="D151" s="17"/>
      <c r="E151" s="17" t="s">
        <v>291</v>
      </c>
      <c r="F151" s="43">
        <f>SUM(F152:F153)</f>
        <v>0</v>
      </c>
      <c r="G151" s="43">
        <f t="shared" ref="G151:H151" si="187">SUM(G152:G153)</f>
        <v>0</v>
      </c>
      <c r="H151" s="43">
        <f t="shared" si="187"/>
        <v>0</v>
      </c>
      <c r="I151" s="43"/>
      <c r="J151" s="43">
        <f>SUM(J152:J153)</f>
        <v>0</v>
      </c>
      <c r="K151" s="43">
        <f t="shared" ref="K151" si="188">SUM(K152:K153)</f>
        <v>0</v>
      </c>
      <c r="L151" s="43">
        <f t="shared" ref="L151" si="189">SUM(L152:L153)</f>
        <v>0</v>
      </c>
      <c r="M151" s="43"/>
      <c r="N151" s="43">
        <f>SUM(N152:N153)</f>
        <v>0</v>
      </c>
      <c r="O151" s="43">
        <f t="shared" ref="O151" si="190">SUM(O152:O153)</f>
        <v>0</v>
      </c>
      <c r="P151" s="43">
        <f t="shared" ref="P151" si="191">SUM(P152:P153)</f>
        <v>0</v>
      </c>
      <c r="Q151" s="43"/>
    </row>
    <row r="152" spans="2:17" x14ac:dyDescent="0.3">
      <c r="B152" s="27"/>
      <c r="C152" s="17"/>
      <c r="D152" s="3">
        <v>6611</v>
      </c>
      <c r="E152" s="3" t="s">
        <v>292</v>
      </c>
      <c r="F152" s="35">
        <f>'DEPENSES PROGRAMME I'!K152</f>
        <v>0</v>
      </c>
      <c r="G152" s="35">
        <f>'DEPENSES PROGRAMME II'!K152</f>
        <v>0</v>
      </c>
      <c r="H152" s="35">
        <f>'DEPENSES PROGRAMME III'!K152</f>
        <v>0</v>
      </c>
      <c r="I152" s="35"/>
      <c r="J152" s="35">
        <f>'DEPENSES PROGRAMME I'!L152</f>
        <v>0</v>
      </c>
      <c r="K152" s="35">
        <f>'DEPENSES PROGRAMME II'!L152</f>
        <v>0</v>
      </c>
      <c r="L152" s="35">
        <f>'DEPENSES PROGRAMME III'!L152</f>
        <v>0</v>
      </c>
      <c r="M152" s="35"/>
      <c r="N152" s="35">
        <f>'DEPENSES PROGRAMME I'!M152</f>
        <v>0</v>
      </c>
      <c r="O152" s="35">
        <f>'DEPENSES PROGRAMME II'!M152</f>
        <v>0</v>
      </c>
      <c r="P152" s="35">
        <f>'DEPENSES PROGRAMME III'!M152</f>
        <v>0</v>
      </c>
      <c r="Q152" s="35"/>
    </row>
    <row r="153" spans="2:17" x14ac:dyDescent="0.3">
      <c r="B153" s="27"/>
      <c r="C153" s="17"/>
      <c r="D153" s="3">
        <v>6618</v>
      </c>
      <c r="E153" s="3" t="s">
        <v>293</v>
      </c>
      <c r="F153" s="35">
        <f>'DEPENSES PROGRAMME I'!K153</f>
        <v>0</v>
      </c>
      <c r="G153" s="35">
        <f>'DEPENSES PROGRAMME II'!K153</f>
        <v>0</v>
      </c>
      <c r="H153" s="35">
        <f>'DEPENSES PROGRAMME III'!K153</f>
        <v>0</v>
      </c>
      <c r="I153" s="35"/>
      <c r="J153" s="35">
        <f>'DEPENSES PROGRAMME I'!L153</f>
        <v>0</v>
      </c>
      <c r="K153" s="35">
        <f>'DEPENSES PROGRAMME II'!L153</f>
        <v>0</v>
      </c>
      <c r="L153" s="35">
        <f>'DEPENSES PROGRAMME III'!L153</f>
        <v>0</v>
      </c>
      <c r="M153" s="35"/>
      <c r="N153" s="35">
        <f>'DEPENSES PROGRAMME I'!M153</f>
        <v>0</v>
      </c>
      <c r="O153" s="35">
        <f>'DEPENSES PROGRAMME II'!M153</f>
        <v>0</v>
      </c>
      <c r="P153" s="35">
        <f>'DEPENSES PROGRAMME III'!M153</f>
        <v>0</v>
      </c>
      <c r="Q153" s="35"/>
    </row>
    <row r="154" spans="2:17" s="10" customFormat="1" x14ac:dyDescent="0.3">
      <c r="B154" s="27"/>
      <c r="C154" s="17">
        <v>662</v>
      </c>
      <c r="D154" s="17"/>
      <c r="E154" s="17" t="s">
        <v>294</v>
      </c>
      <c r="F154" s="43">
        <f>SUM(F155:F156)</f>
        <v>0</v>
      </c>
      <c r="G154" s="43">
        <f t="shared" ref="G154:H154" si="192">SUM(G155:G156)</f>
        <v>0</v>
      </c>
      <c r="H154" s="43">
        <f t="shared" si="192"/>
        <v>0</v>
      </c>
      <c r="I154" s="43"/>
      <c r="J154" s="43">
        <f>SUM(J155:J156)</f>
        <v>0</v>
      </c>
      <c r="K154" s="43">
        <f t="shared" ref="K154" si="193">SUM(K155:K156)</f>
        <v>0</v>
      </c>
      <c r="L154" s="43">
        <f t="shared" ref="L154" si="194">SUM(L155:L156)</f>
        <v>0</v>
      </c>
      <c r="M154" s="43"/>
      <c r="N154" s="43">
        <f>SUM(N155:N156)</f>
        <v>0</v>
      </c>
      <c r="O154" s="43">
        <f t="shared" ref="O154" si="195">SUM(O155:O156)</f>
        <v>0</v>
      </c>
      <c r="P154" s="43">
        <f t="shared" ref="P154" si="196">SUM(P155:P156)</f>
        <v>0</v>
      </c>
      <c r="Q154" s="43"/>
    </row>
    <row r="155" spans="2:17" x14ac:dyDescent="0.3">
      <c r="B155" s="27"/>
      <c r="C155" s="17"/>
      <c r="D155" s="3">
        <v>6621</v>
      </c>
      <c r="E155" s="3" t="s">
        <v>294</v>
      </c>
      <c r="F155" s="35">
        <f>'DEPENSES PROGRAMME I'!K155</f>
        <v>0</v>
      </c>
      <c r="G155" s="35">
        <f>'DEPENSES PROGRAMME II'!K155</f>
        <v>0</v>
      </c>
      <c r="H155" s="35">
        <f>'DEPENSES PROGRAMME III'!K155</f>
        <v>0</v>
      </c>
      <c r="I155" s="35"/>
      <c r="J155" s="35">
        <f>'DEPENSES PROGRAMME I'!L155</f>
        <v>0</v>
      </c>
      <c r="K155" s="35">
        <f>'DEPENSES PROGRAMME II'!L155</f>
        <v>0</v>
      </c>
      <c r="L155" s="35">
        <f>'DEPENSES PROGRAMME III'!L155</f>
        <v>0</v>
      </c>
      <c r="M155" s="35"/>
      <c r="N155" s="35">
        <f>'DEPENSES PROGRAMME I'!M155</f>
        <v>0</v>
      </c>
      <c r="O155" s="35">
        <f>'DEPENSES PROGRAMME II'!M155</f>
        <v>0</v>
      </c>
      <c r="P155" s="35">
        <f>'DEPENSES PROGRAMME III'!M155</f>
        <v>0</v>
      </c>
      <c r="Q155" s="35"/>
    </row>
    <row r="156" spans="2:17" x14ac:dyDescent="0.3">
      <c r="B156" s="27"/>
      <c r="C156" s="17"/>
      <c r="D156" s="3">
        <v>6622</v>
      </c>
      <c r="E156" s="3" t="s">
        <v>295</v>
      </c>
      <c r="F156" s="35">
        <f>'DEPENSES PROGRAMME I'!K156</f>
        <v>0</v>
      </c>
      <c r="G156" s="35">
        <f>'DEPENSES PROGRAMME II'!K156</f>
        <v>0</v>
      </c>
      <c r="H156" s="35">
        <f>'DEPENSES PROGRAMME III'!K156</f>
        <v>0</v>
      </c>
      <c r="I156" s="35"/>
      <c r="J156" s="35">
        <f>'DEPENSES PROGRAMME I'!L156</f>
        <v>0</v>
      </c>
      <c r="K156" s="35">
        <f>'DEPENSES PROGRAMME II'!L156</f>
        <v>0</v>
      </c>
      <c r="L156" s="35">
        <f>'DEPENSES PROGRAMME III'!L156</f>
        <v>0</v>
      </c>
      <c r="M156" s="35"/>
      <c r="N156" s="35">
        <f>'DEPENSES PROGRAMME I'!M156</f>
        <v>0</v>
      </c>
      <c r="O156" s="35">
        <f>'DEPENSES PROGRAMME II'!M156</f>
        <v>0</v>
      </c>
      <c r="P156" s="35">
        <f>'DEPENSES PROGRAMME III'!M156</f>
        <v>0</v>
      </c>
      <c r="Q156" s="35"/>
    </row>
    <row r="157" spans="2:17" s="10" customFormat="1" x14ac:dyDescent="0.3">
      <c r="B157" s="27"/>
      <c r="C157" s="17">
        <v>663</v>
      </c>
      <c r="D157" s="17"/>
      <c r="E157" s="17" t="s">
        <v>296</v>
      </c>
      <c r="F157" s="43">
        <f>SUM(F158:F159)</f>
        <v>0</v>
      </c>
      <c r="G157" s="43">
        <f t="shared" ref="G157:H157" si="197">SUM(G158:G159)</f>
        <v>0</v>
      </c>
      <c r="H157" s="43">
        <f t="shared" si="197"/>
        <v>0</v>
      </c>
      <c r="I157" s="43"/>
      <c r="J157" s="43">
        <f>SUM(J158:J159)</f>
        <v>0</v>
      </c>
      <c r="K157" s="43">
        <f t="shared" ref="K157" si="198">SUM(K158:K159)</f>
        <v>0</v>
      </c>
      <c r="L157" s="43">
        <f t="shared" ref="L157" si="199">SUM(L158:L159)</f>
        <v>0</v>
      </c>
      <c r="M157" s="43"/>
      <c r="N157" s="43">
        <f>SUM(N158:N159)</f>
        <v>0</v>
      </c>
      <c r="O157" s="43">
        <f t="shared" ref="O157" si="200">SUM(O158:O159)</f>
        <v>0</v>
      </c>
      <c r="P157" s="43">
        <f t="shared" ref="P157" si="201">SUM(P158:P159)</f>
        <v>0</v>
      </c>
      <c r="Q157" s="43"/>
    </row>
    <row r="158" spans="2:17" x14ac:dyDescent="0.3">
      <c r="B158" s="27"/>
      <c r="C158" s="17"/>
      <c r="D158" s="3">
        <v>6631</v>
      </c>
      <c r="E158" s="3" t="s">
        <v>297</v>
      </c>
      <c r="F158" s="35">
        <f>'DEPENSES PROGRAMME I'!K158</f>
        <v>0</v>
      </c>
      <c r="G158" s="35">
        <f>'DEPENSES PROGRAMME II'!K158</f>
        <v>0</v>
      </c>
      <c r="H158" s="35">
        <f>'DEPENSES PROGRAMME III'!K158</f>
        <v>0</v>
      </c>
      <c r="I158" s="35"/>
      <c r="J158" s="35">
        <f>'DEPENSES PROGRAMME I'!L158</f>
        <v>0</v>
      </c>
      <c r="K158" s="35">
        <f>'DEPENSES PROGRAMME II'!L158</f>
        <v>0</v>
      </c>
      <c r="L158" s="35">
        <f>'DEPENSES PROGRAMME III'!L158</f>
        <v>0</v>
      </c>
      <c r="M158" s="35"/>
      <c r="N158" s="35">
        <f>'DEPENSES PROGRAMME I'!M158</f>
        <v>0</v>
      </c>
      <c r="O158" s="35">
        <f>'DEPENSES PROGRAMME II'!M158</f>
        <v>0</v>
      </c>
      <c r="P158" s="35">
        <f>'DEPENSES PROGRAMME III'!M158</f>
        <v>0</v>
      </c>
      <c r="Q158" s="35"/>
    </row>
    <row r="159" spans="2:17" x14ac:dyDescent="0.3">
      <c r="B159" s="27"/>
      <c r="C159" s="17"/>
      <c r="D159" s="3">
        <v>6632</v>
      </c>
      <c r="E159" s="3" t="s">
        <v>298</v>
      </c>
      <c r="F159" s="35">
        <f>'DEPENSES PROGRAMME I'!K159</f>
        <v>0</v>
      </c>
      <c r="G159" s="35">
        <f>'DEPENSES PROGRAMME II'!K159</f>
        <v>0</v>
      </c>
      <c r="H159" s="35">
        <f>'DEPENSES PROGRAMME III'!K159</f>
        <v>0</v>
      </c>
      <c r="I159" s="35"/>
      <c r="J159" s="35">
        <f>'DEPENSES PROGRAMME I'!L159</f>
        <v>0</v>
      </c>
      <c r="K159" s="35">
        <f>'DEPENSES PROGRAMME II'!L159</f>
        <v>0</v>
      </c>
      <c r="L159" s="35">
        <f>'DEPENSES PROGRAMME III'!L159</f>
        <v>0</v>
      </c>
      <c r="M159" s="35"/>
      <c r="N159" s="35">
        <f>'DEPENSES PROGRAMME I'!M159</f>
        <v>0</v>
      </c>
      <c r="O159" s="35">
        <f>'DEPENSES PROGRAMME II'!M159</f>
        <v>0</v>
      </c>
      <c r="P159" s="35">
        <f>'DEPENSES PROGRAMME III'!M159</f>
        <v>0</v>
      </c>
      <c r="Q159" s="35"/>
    </row>
    <row r="160" spans="2:17" s="10" customFormat="1" x14ac:dyDescent="0.3">
      <c r="B160" s="27"/>
      <c r="C160" s="17">
        <v>666</v>
      </c>
      <c r="D160" s="17"/>
      <c r="E160" s="17" t="s">
        <v>299</v>
      </c>
      <c r="F160" s="43">
        <f>SUM(F161)</f>
        <v>0</v>
      </c>
      <c r="G160" s="43">
        <f t="shared" ref="G160:H160" si="202">SUM(G161)</f>
        <v>0</v>
      </c>
      <c r="H160" s="43">
        <f t="shared" si="202"/>
        <v>0</v>
      </c>
      <c r="I160" s="43"/>
      <c r="J160" s="43">
        <f>SUM(J161)</f>
        <v>0</v>
      </c>
      <c r="K160" s="43">
        <f t="shared" ref="K160" si="203">SUM(K161)</f>
        <v>0</v>
      </c>
      <c r="L160" s="43">
        <f t="shared" ref="L160" si="204">SUM(L161)</f>
        <v>0</v>
      </c>
      <c r="M160" s="43"/>
      <c r="N160" s="43">
        <f>SUM(N161)</f>
        <v>0</v>
      </c>
      <c r="O160" s="43">
        <f t="shared" ref="O160" si="205">SUM(O161)</f>
        <v>0</v>
      </c>
      <c r="P160" s="43">
        <f t="shared" ref="P160" si="206">SUM(P161)</f>
        <v>0</v>
      </c>
      <c r="Q160" s="43"/>
    </row>
    <row r="161" spans="2:17" x14ac:dyDescent="0.3">
      <c r="B161" s="27"/>
      <c r="C161" s="17"/>
      <c r="D161" s="3">
        <v>6660</v>
      </c>
      <c r="E161" s="3" t="s">
        <v>300</v>
      </c>
      <c r="F161" s="35">
        <f>'DEPENSES PROGRAMME I'!K161</f>
        <v>0</v>
      </c>
      <c r="G161" s="35">
        <f>'DEPENSES PROGRAMME II'!K161</f>
        <v>0</v>
      </c>
      <c r="H161" s="35">
        <f>'DEPENSES PROGRAMME III'!K161</f>
        <v>0</v>
      </c>
      <c r="I161" s="35"/>
      <c r="J161" s="35">
        <f>'DEPENSES PROGRAMME I'!L161</f>
        <v>0</v>
      </c>
      <c r="K161" s="35">
        <f>'DEPENSES PROGRAMME II'!L161</f>
        <v>0</v>
      </c>
      <c r="L161" s="35">
        <f>'DEPENSES PROGRAMME III'!L161</f>
        <v>0</v>
      </c>
      <c r="M161" s="35"/>
      <c r="N161" s="35">
        <f>'DEPENSES PROGRAMME I'!M161</f>
        <v>0</v>
      </c>
      <c r="O161" s="35">
        <f>'DEPENSES PROGRAMME II'!M161</f>
        <v>0</v>
      </c>
      <c r="P161" s="35">
        <f>'DEPENSES PROGRAMME III'!M161</f>
        <v>0</v>
      </c>
      <c r="Q161" s="35"/>
    </row>
    <row r="162" spans="2:17" s="10" customFormat="1" x14ac:dyDescent="0.3">
      <c r="B162" s="27"/>
      <c r="C162" s="17">
        <v>668</v>
      </c>
      <c r="D162" s="17"/>
      <c r="E162" s="17" t="s">
        <v>301</v>
      </c>
      <c r="F162" s="43">
        <f>SUM(F163:F164)</f>
        <v>0</v>
      </c>
      <c r="G162" s="43">
        <f t="shared" ref="G162:H162" si="207">SUM(G163:G164)</f>
        <v>0</v>
      </c>
      <c r="H162" s="43">
        <f t="shared" si="207"/>
        <v>0</v>
      </c>
      <c r="I162" s="43"/>
      <c r="J162" s="43">
        <f>SUM(J163:J164)</f>
        <v>0</v>
      </c>
      <c r="K162" s="43">
        <f t="shared" ref="K162" si="208">SUM(K163:K164)</f>
        <v>0</v>
      </c>
      <c r="L162" s="43">
        <f t="shared" ref="L162" si="209">SUM(L163:L164)</f>
        <v>0</v>
      </c>
      <c r="M162" s="43"/>
      <c r="N162" s="43">
        <f>SUM(N163:N164)</f>
        <v>0</v>
      </c>
      <c r="O162" s="43">
        <f t="shared" ref="O162" si="210">SUM(O163:O164)</f>
        <v>0</v>
      </c>
      <c r="P162" s="43">
        <f t="shared" ref="P162" si="211">SUM(P163:P164)</f>
        <v>0</v>
      </c>
      <c r="Q162" s="43"/>
    </row>
    <row r="163" spans="2:17" x14ac:dyDescent="0.3">
      <c r="B163" s="27"/>
      <c r="C163" s="17"/>
      <c r="D163" s="3">
        <v>6681</v>
      </c>
      <c r="E163" s="3" t="s">
        <v>302</v>
      </c>
      <c r="F163" s="35">
        <f>'DEPENSES PROGRAMME I'!K163</f>
        <v>0</v>
      </c>
      <c r="G163" s="35">
        <f>'DEPENSES PROGRAMME II'!K163</f>
        <v>0</v>
      </c>
      <c r="H163" s="35">
        <f>'DEPENSES PROGRAMME III'!K163</f>
        <v>0</v>
      </c>
      <c r="I163" s="35"/>
      <c r="J163" s="35">
        <f>'DEPENSES PROGRAMME I'!L163</f>
        <v>0</v>
      </c>
      <c r="K163" s="35">
        <f>'DEPENSES PROGRAMME II'!L163</f>
        <v>0</v>
      </c>
      <c r="L163" s="35">
        <f>'DEPENSES PROGRAMME III'!L163</f>
        <v>0</v>
      </c>
      <c r="M163" s="35"/>
      <c r="N163" s="35">
        <f>'DEPENSES PROGRAMME I'!M163</f>
        <v>0</v>
      </c>
      <c r="O163" s="35">
        <f>'DEPENSES PROGRAMME II'!M163</f>
        <v>0</v>
      </c>
      <c r="P163" s="35">
        <f>'DEPENSES PROGRAMME III'!M163</f>
        <v>0</v>
      </c>
      <c r="Q163" s="35"/>
    </row>
    <row r="164" spans="2:17" x14ac:dyDescent="0.3">
      <c r="B164" s="27"/>
      <c r="C164" s="17"/>
      <c r="D164" s="3">
        <v>6688</v>
      </c>
      <c r="E164" s="3" t="s">
        <v>301</v>
      </c>
      <c r="F164" s="35">
        <f>'DEPENSES PROGRAMME I'!K164</f>
        <v>0</v>
      </c>
      <c r="G164" s="35">
        <f>'DEPENSES PROGRAMME II'!K164</f>
        <v>0</v>
      </c>
      <c r="H164" s="35">
        <f>'DEPENSES PROGRAMME III'!K164</f>
        <v>0</v>
      </c>
      <c r="I164" s="35"/>
      <c r="J164" s="35">
        <f>'DEPENSES PROGRAMME I'!L164</f>
        <v>0</v>
      </c>
      <c r="K164" s="35">
        <f>'DEPENSES PROGRAMME II'!L164</f>
        <v>0</v>
      </c>
      <c r="L164" s="35">
        <f>'DEPENSES PROGRAMME III'!L164</f>
        <v>0</v>
      </c>
      <c r="M164" s="35"/>
      <c r="N164" s="35">
        <f>'DEPENSES PROGRAMME I'!M164</f>
        <v>0</v>
      </c>
      <c r="O164" s="35">
        <f>'DEPENSES PROGRAMME II'!M164</f>
        <v>0</v>
      </c>
      <c r="P164" s="35">
        <f>'DEPENSES PROGRAMME III'!M164</f>
        <v>0</v>
      </c>
      <c r="Q164" s="35"/>
    </row>
    <row r="165" spans="2:17" s="10" customFormat="1" ht="30" customHeight="1" x14ac:dyDescent="0.3">
      <c r="B165" s="27">
        <v>67</v>
      </c>
      <c r="C165" s="17"/>
      <c r="D165" s="17"/>
      <c r="E165" s="17" t="s">
        <v>160</v>
      </c>
      <c r="F165" s="43">
        <f>SUM(F166,F172,F174,F176,F179,F183)</f>
        <v>0</v>
      </c>
      <c r="G165" s="43">
        <f t="shared" ref="G165:H165" si="212">SUM(G166,G172,G174,G176,G179,G183)</f>
        <v>0</v>
      </c>
      <c r="H165" s="43">
        <f t="shared" si="212"/>
        <v>0</v>
      </c>
      <c r="I165" s="43">
        <f>SUM(F165,G165,H165)</f>
        <v>0</v>
      </c>
      <c r="J165" s="43">
        <f>SUM(J166,J172,J174,J176,J179,J183)</f>
        <v>0</v>
      </c>
      <c r="K165" s="43">
        <f t="shared" ref="K165" si="213">SUM(K166,K172,K174,K176,K179,K183)</f>
        <v>0</v>
      </c>
      <c r="L165" s="43">
        <f t="shared" ref="L165" si="214">SUM(L166,L172,L174,L176,L179,L183)</f>
        <v>0</v>
      </c>
      <c r="M165" s="43">
        <f>SUM(J165,K165,L165)</f>
        <v>0</v>
      </c>
      <c r="N165" s="43">
        <f>SUM(N166,N172,N174,N176,N179,N183)</f>
        <v>0</v>
      </c>
      <c r="O165" s="43">
        <f t="shared" ref="O165" si="215">SUM(O166,O172,O174,O176,O179,O183)</f>
        <v>0</v>
      </c>
      <c r="P165" s="43">
        <f t="shared" ref="P165" si="216">SUM(P166,P172,P174,P176,P179,P183)</f>
        <v>0</v>
      </c>
      <c r="Q165" s="43">
        <f>SUM(N165,O165,P165)</f>
        <v>0</v>
      </c>
    </row>
    <row r="166" spans="2:17" s="10" customFormat="1" x14ac:dyDescent="0.3">
      <c r="B166" s="27"/>
      <c r="C166" s="17">
        <v>671</v>
      </c>
      <c r="D166" s="17"/>
      <c r="E166" s="17" t="s">
        <v>303</v>
      </c>
      <c r="F166" s="43">
        <f>SUM(F167:F171)</f>
        <v>0</v>
      </c>
      <c r="G166" s="43">
        <f t="shared" ref="G166:H166" si="217">SUM(G167:G171)</f>
        <v>0</v>
      </c>
      <c r="H166" s="43">
        <f t="shared" si="217"/>
        <v>0</v>
      </c>
      <c r="I166" s="43"/>
      <c r="J166" s="43">
        <f>SUM(J167:J171)</f>
        <v>0</v>
      </c>
      <c r="K166" s="43">
        <f t="shared" ref="K166" si="218">SUM(K167:K171)</f>
        <v>0</v>
      </c>
      <c r="L166" s="43">
        <f t="shared" ref="L166" si="219">SUM(L167:L171)</f>
        <v>0</v>
      </c>
      <c r="M166" s="43"/>
      <c r="N166" s="43">
        <f>SUM(N167:N171)</f>
        <v>0</v>
      </c>
      <c r="O166" s="43">
        <f t="shared" ref="O166" si="220">SUM(O167:O171)</f>
        <v>0</v>
      </c>
      <c r="P166" s="43">
        <f>SUM(P167:P171)</f>
        <v>0</v>
      </c>
      <c r="Q166" s="43"/>
    </row>
    <row r="167" spans="2:17" x14ac:dyDescent="0.3">
      <c r="B167" s="27"/>
      <c r="C167" s="17"/>
      <c r="D167" s="3">
        <v>6711</v>
      </c>
      <c r="E167" s="3" t="s">
        <v>304</v>
      </c>
      <c r="F167" s="35">
        <f>'DEPENSES PROGRAMME I'!K167</f>
        <v>0</v>
      </c>
      <c r="G167" s="35">
        <f>'DEPENSES PROGRAMME II'!K167</f>
        <v>0</v>
      </c>
      <c r="H167" s="35">
        <f>'DEPENSES PROGRAMME III'!K167</f>
        <v>0</v>
      </c>
      <c r="I167" s="35"/>
      <c r="J167" s="35">
        <f>'DEPENSES PROGRAMME I'!L167</f>
        <v>0</v>
      </c>
      <c r="K167" s="35">
        <f>'DEPENSES PROGRAMME II'!L167</f>
        <v>0</v>
      </c>
      <c r="L167" s="35">
        <f>'DEPENSES PROGRAMME III'!L167</f>
        <v>0</v>
      </c>
      <c r="M167" s="35"/>
      <c r="N167" s="35">
        <f>'DEPENSES PROGRAMME I'!M167</f>
        <v>0</v>
      </c>
      <c r="O167" s="35">
        <f>'DEPENSES PROGRAMME II'!M167</f>
        <v>0</v>
      </c>
      <c r="P167" s="35">
        <f>'DEPENSES PROGRAMME III'!M167</f>
        <v>0</v>
      </c>
      <c r="Q167" s="35"/>
    </row>
    <row r="168" spans="2:17" x14ac:dyDescent="0.3">
      <c r="B168" s="27"/>
      <c r="C168" s="17"/>
      <c r="D168" s="3">
        <v>6712</v>
      </c>
      <c r="E168" s="3" t="s">
        <v>305</v>
      </c>
      <c r="F168" s="35">
        <f>'DEPENSES PROGRAMME I'!K168</f>
        <v>0</v>
      </c>
      <c r="G168" s="35">
        <f>'DEPENSES PROGRAMME II'!K168</f>
        <v>0</v>
      </c>
      <c r="H168" s="35">
        <f>'DEPENSES PROGRAMME III'!K168</f>
        <v>0</v>
      </c>
      <c r="I168" s="35"/>
      <c r="J168" s="35">
        <f>'DEPENSES PROGRAMME I'!L168</f>
        <v>0</v>
      </c>
      <c r="K168" s="35">
        <f>'DEPENSES PROGRAMME II'!L168</f>
        <v>0</v>
      </c>
      <c r="L168" s="35">
        <f>'DEPENSES PROGRAMME III'!L168</f>
        <v>0</v>
      </c>
      <c r="M168" s="35"/>
      <c r="N168" s="35">
        <f>'DEPENSES PROGRAMME I'!M168</f>
        <v>0</v>
      </c>
      <c r="O168" s="35">
        <f>'DEPENSES PROGRAMME II'!M168</f>
        <v>0</v>
      </c>
      <c r="P168" s="35">
        <f>'DEPENSES PROGRAMME III'!M168</f>
        <v>0</v>
      </c>
      <c r="Q168" s="35"/>
    </row>
    <row r="169" spans="2:17" x14ac:dyDescent="0.3">
      <c r="B169" s="27"/>
      <c r="C169" s="17"/>
      <c r="D169" s="3">
        <v>6713</v>
      </c>
      <c r="E169" s="3" t="s">
        <v>306</v>
      </c>
      <c r="F169" s="35">
        <f>'DEPENSES PROGRAMME I'!K169</f>
        <v>0</v>
      </c>
      <c r="G169" s="35">
        <f>'DEPENSES PROGRAMME II'!K169</f>
        <v>0</v>
      </c>
      <c r="H169" s="35">
        <f>'DEPENSES PROGRAMME III'!K169</f>
        <v>0</v>
      </c>
      <c r="I169" s="35"/>
      <c r="J169" s="35">
        <f>'DEPENSES PROGRAMME I'!L169</f>
        <v>0</v>
      </c>
      <c r="K169" s="35">
        <f>'DEPENSES PROGRAMME II'!L169</f>
        <v>0</v>
      </c>
      <c r="L169" s="35">
        <f>'DEPENSES PROGRAMME III'!L169</f>
        <v>0</v>
      </c>
      <c r="M169" s="35"/>
      <c r="N169" s="35">
        <f>'DEPENSES PROGRAMME I'!M169</f>
        <v>0</v>
      </c>
      <c r="O169" s="35">
        <f>'DEPENSES PROGRAMME II'!M169</f>
        <v>0</v>
      </c>
      <c r="P169" s="35">
        <f>'DEPENSES PROGRAMME III'!M169</f>
        <v>0</v>
      </c>
      <c r="Q169" s="35"/>
    </row>
    <row r="170" spans="2:17" x14ac:dyDescent="0.3">
      <c r="B170" s="27"/>
      <c r="C170" s="17"/>
      <c r="D170" s="3">
        <v>6714</v>
      </c>
      <c r="E170" s="3" t="s">
        <v>307</v>
      </c>
      <c r="F170" s="35">
        <f>'DEPENSES PROGRAMME I'!K170</f>
        <v>0</v>
      </c>
      <c r="G170" s="35">
        <f>'DEPENSES PROGRAMME II'!K170</f>
        <v>0</v>
      </c>
      <c r="H170" s="35">
        <f>'DEPENSES PROGRAMME III'!K170</f>
        <v>0</v>
      </c>
      <c r="I170" s="35"/>
      <c r="J170" s="35">
        <f>'DEPENSES PROGRAMME I'!L170</f>
        <v>0</v>
      </c>
      <c r="K170" s="35">
        <f>'DEPENSES PROGRAMME II'!L170</f>
        <v>0</v>
      </c>
      <c r="L170" s="35">
        <f>'DEPENSES PROGRAMME III'!L170</f>
        <v>0</v>
      </c>
      <c r="M170" s="35"/>
      <c r="N170" s="35">
        <f>'DEPENSES PROGRAMME I'!M170</f>
        <v>0</v>
      </c>
      <c r="O170" s="35">
        <f>'DEPENSES PROGRAMME II'!M170</f>
        <v>0</v>
      </c>
      <c r="P170" s="35">
        <f>'DEPENSES PROGRAMME III'!M170</f>
        <v>0</v>
      </c>
      <c r="Q170" s="35"/>
    </row>
    <row r="171" spans="2:17" x14ac:dyDescent="0.3">
      <c r="B171" s="27"/>
      <c r="C171" s="17"/>
      <c r="D171" s="3">
        <v>6718</v>
      </c>
      <c r="E171" s="3" t="s">
        <v>95</v>
      </c>
      <c r="F171" s="35">
        <f>'DEPENSES PROGRAMME I'!K171</f>
        <v>0</v>
      </c>
      <c r="G171" s="35">
        <f>'DEPENSES PROGRAMME II'!K171</f>
        <v>0</v>
      </c>
      <c r="H171" s="35">
        <f>'DEPENSES PROGRAMME III'!K171</f>
        <v>0</v>
      </c>
      <c r="I171" s="35"/>
      <c r="J171" s="35">
        <f>'DEPENSES PROGRAMME I'!L171</f>
        <v>0</v>
      </c>
      <c r="K171" s="35">
        <f>'DEPENSES PROGRAMME II'!L171</f>
        <v>0</v>
      </c>
      <c r="L171" s="35">
        <f>'DEPENSES PROGRAMME III'!L171</f>
        <v>0</v>
      </c>
      <c r="M171" s="35"/>
      <c r="N171" s="35">
        <f>'DEPENSES PROGRAMME I'!M171</f>
        <v>0</v>
      </c>
      <c r="O171" s="35">
        <f>'DEPENSES PROGRAMME II'!M171</f>
        <v>0</v>
      </c>
      <c r="P171" s="35">
        <f>'DEPENSES PROGRAMME III'!M171</f>
        <v>0</v>
      </c>
      <c r="Q171" s="35"/>
    </row>
    <row r="172" spans="2:17" s="10" customFormat="1" x14ac:dyDescent="0.3">
      <c r="B172" s="27"/>
      <c r="C172" s="17">
        <v>672</v>
      </c>
      <c r="D172" s="17"/>
      <c r="E172" s="17" t="s">
        <v>308</v>
      </c>
      <c r="F172" s="43">
        <f>SUM(F173)</f>
        <v>0</v>
      </c>
      <c r="G172" s="43">
        <f t="shared" ref="G172:H172" si="221">SUM(G173)</f>
        <v>0</v>
      </c>
      <c r="H172" s="43">
        <f t="shared" si="221"/>
        <v>0</v>
      </c>
      <c r="I172" s="43"/>
      <c r="J172" s="43">
        <f>SUM(J173)</f>
        <v>0</v>
      </c>
      <c r="K172" s="43">
        <f t="shared" ref="K172" si="222">SUM(K173)</f>
        <v>0</v>
      </c>
      <c r="L172" s="43">
        <f t="shared" ref="L172" si="223">SUM(L173)</f>
        <v>0</v>
      </c>
      <c r="M172" s="43"/>
      <c r="N172" s="43">
        <f>SUM(N173)</f>
        <v>0</v>
      </c>
      <c r="O172" s="43">
        <f t="shared" ref="O172" si="224">SUM(O173)</f>
        <v>0</v>
      </c>
      <c r="P172" s="43">
        <f t="shared" ref="P172" si="225">SUM(P173)</f>
        <v>0</v>
      </c>
      <c r="Q172" s="43"/>
    </row>
    <row r="173" spans="2:17" x14ac:dyDescent="0.3">
      <c r="B173" s="27"/>
      <c r="C173" s="17"/>
      <c r="D173" s="3">
        <v>6720</v>
      </c>
      <c r="E173" s="3" t="s">
        <v>319</v>
      </c>
      <c r="F173" s="35">
        <f>'DEPENSES PROGRAMME I'!K173</f>
        <v>0</v>
      </c>
      <c r="G173" s="35">
        <f>'DEPENSES PROGRAMME II'!K173</f>
        <v>0</v>
      </c>
      <c r="H173" s="35">
        <f>'DEPENSES PROGRAMME III'!K173</f>
        <v>0</v>
      </c>
      <c r="I173" s="35"/>
      <c r="J173" s="35">
        <f>'DEPENSES PROGRAMME I'!L173</f>
        <v>0</v>
      </c>
      <c r="K173" s="35">
        <f>'DEPENSES PROGRAMME II'!L173</f>
        <v>0</v>
      </c>
      <c r="L173" s="35">
        <f>'DEPENSES PROGRAMME III'!L173</f>
        <v>0</v>
      </c>
      <c r="M173" s="35"/>
      <c r="N173" s="35">
        <f>'DEPENSES PROGRAMME I'!M173</f>
        <v>0</v>
      </c>
      <c r="O173" s="35">
        <f>'DEPENSES PROGRAMME II'!M173</f>
        <v>0</v>
      </c>
      <c r="P173" s="35">
        <f>'DEPENSES PROGRAMME III'!M173</f>
        <v>0</v>
      </c>
      <c r="Q173" s="35"/>
    </row>
    <row r="174" spans="2:17" s="10" customFormat="1" x14ac:dyDescent="0.3">
      <c r="B174" s="27"/>
      <c r="C174" s="17">
        <v>673</v>
      </c>
      <c r="D174" s="17"/>
      <c r="E174" s="17" t="s">
        <v>309</v>
      </c>
      <c r="F174" s="43">
        <f>SUM(F175)</f>
        <v>0</v>
      </c>
      <c r="G174" s="43">
        <f t="shared" ref="G174:H174" si="226">SUM(G175)</f>
        <v>0</v>
      </c>
      <c r="H174" s="43">
        <f t="shared" si="226"/>
        <v>0</v>
      </c>
      <c r="I174" s="43"/>
      <c r="J174" s="43">
        <f>SUM(J175)</f>
        <v>0</v>
      </c>
      <c r="K174" s="43">
        <f t="shared" ref="K174" si="227">SUM(K175)</f>
        <v>0</v>
      </c>
      <c r="L174" s="43">
        <f t="shared" ref="L174" si="228">SUM(L175)</f>
        <v>0</v>
      </c>
      <c r="M174" s="43"/>
      <c r="N174" s="43">
        <f>SUM(N175)</f>
        <v>0</v>
      </c>
      <c r="O174" s="43">
        <f t="shared" ref="O174" si="229">SUM(O175)</f>
        <v>0</v>
      </c>
      <c r="P174" s="43">
        <f t="shared" ref="P174" si="230">SUM(P175)</f>
        <v>0</v>
      </c>
      <c r="Q174" s="43"/>
    </row>
    <row r="175" spans="2:17" x14ac:dyDescent="0.3">
      <c r="B175" s="27"/>
      <c r="C175" s="17"/>
      <c r="D175" s="3">
        <v>6730</v>
      </c>
      <c r="E175" s="3" t="s">
        <v>309</v>
      </c>
      <c r="F175" s="35">
        <f>'DEPENSES PROGRAMME I'!K175</f>
        <v>0</v>
      </c>
      <c r="G175" s="35">
        <f>'DEPENSES PROGRAMME II'!K175</f>
        <v>0</v>
      </c>
      <c r="H175" s="35">
        <f>'DEPENSES PROGRAMME III'!K175</f>
        <v>0</v>
      </c>
      <c r="I175" s="35"/>
      <c r="J175" s="35">
        <f>'DEPENSES PROGRAMME I'!L175</f>
        <v>0</v>
      </c>
      <c r="K175" s="35">
        <f>'DEPENSES PROGRAMME II'!L175</f>
        <v>0</v>
      </c>
      <c r="L175" s="35">
        <f>'DEPENSES PROGRAMME III'!L175</f>
        <v>0</v>
      </c>
      <c r="M175" s="35"/>
      <c r="N175" s="35">
        <f>'DEPENSES PROGRAMME I'!M175</f>
        <v>0</v>
      </c>
      <c r="O175" s="35">
        <f>'DEPENSES PROGRAMME II'!M175</f>
        <v>0</v>
      </c>
      <c r="P175" s="35">
        <f>'DEPENSES PROGRAMME III'!M175</f>
        <v>0</v>
      </c>
      <c r="Q175" s="35"/>
    </row>
    <row r="176" spans="2:17" s="10" customFormat="1" x14ac:dyDescent="0.3">
      <c r="B176" s="27"/>
      <c r="C176" s="17">
        <v>674</v>
      </c>
      <c r="D176" s="17"/>
      <c r="E176" s="17" t="s">
        <v>310</v>
      </c>
      <c r="F176" s="43">
        <f>SUM(F177:F178)</f>
        <v>0</v>
      </c>
      <c r="G176" s="43">
        <f t="shared" ref="G176:H176" si="231">SUM(G177:G178)</f>
        <v>0</v>
      </c>
      <c r="H176" s="43">
        <f t="shared" si="231"/>
        <v>0</v>
      </c>
      <c r="I176" s="43"/>
      <c r="J176" s="43">
        <f>SUM(J177:J178)</f>
        <v>0</v>
      </c>
      <c r="K176" s="43">
        <f t="shared" ref="K176" si="232">SUM(K177:K178)</f>
        <v>0</v>
      </c>
      <c r="L176" s="43">
        <f t="shared" ref="L176" si="233">SUM(L177:L178)</f>
        <v>0</v>
      </c>
      <c r="M176" s="43"/>
      <c r="N176" s="43">
        <f>SUM(N177:N178)</f>
        <v>0</v>
      </c>
      <c r="O176" s="43">
        <f t="shared" ref="O176" si="234">SUM(O177:O178)</f>
        <v>0</v>
      </c>
      <c r="P176" s="43">
        <f t="shared" ref="P176" si="235">SUM(P177:P178)</f>
        <v>0</v>
      </c>
      <c r="Q176" s="43"/>
    </row>
    <row r="177" spans="2:17" x14ac:dyDescent="0.3">
      <c r="B177" s="27"/>
      <c r="C177" s="17"/>
      <c r="D177" s="3">
        <v>6741</v>
      </c>
      <c r="E177" s="3" t="s">
        <v>311</v>
      </c>
      <c r="F177" s="35">
        <f>'DEPENSES PROGRAMME I'!K177</f>
        <v>0</v>
      </c>
      <c r="G177" s="35">
        <f>'DEPENSES PROGRAMME II'!K177</f>
        <v>0</v>
      </c>
      <c r="H177" s="35">
        <f>'DEPENSES PROGRAMME III'!K177</f>
        <v>0</v>
      </c>
      <c r="I177" s="35"/>
      <c r="J177" s="35">
        <f>'DEPENSES PROGRAMME I'!L177</f>
        <v>0</v>
      </c>
      <c r="K177" s="35">
        <f>'DEPENSES PROGRAMME II'!L177</f>
        <v>0</v>
      </c>
      <c r="L177" s="35">
        <f>'DEPENSES PROGRAMME III'!L177</f>
        <v>0</v>
      </c>
      <c r="M177" s="35"/>
      <c r="N177" s="35">
        <f>'DEPENSES PROGRAMME I'!M177</f>
        <v>0</v>
      </c>
      <c r="O177" s="35">
        <f>'DEPENSES PROGRAMME II'!M177</f>
        <v>0</v>
      </c>
      <c r="P177" s="35">
        <f>'DEPENSES PROGRAMME III'!M177</f>
        <v>0</v>
      </c>
      <c r="Q177" s="35"/>
    </row>
    <row r="178" spans="2:17" x14ac:dyDescent="0.3">
      <c r="B178" s="27"/>
      <c r="C178" s="17"/>
      <c r="D178" s="3">
        <v>6742</v>
      </c>
      <c r="E178" s="3" t="s">
        <v>312</v>
      </c>
      <c r="F178" s="35">
        <f>'DEPENSES PROGRAMME I'!K178</f>
        <v>0</v>
      </c>
      <c r="G178" s="35">
        <f>'DEPENSES PROGRAMME II'!K178</f>
        <v>0</v>
      </c>
      <c r="H178" s="35">
        <f>'DEPENSES PROGRAMME III'!K178</f>
        <v>0</v>
      </c>
      <c r="I178" s="35"/>
      <c r="J178" s="35">
        <f>'DEPENSES PROGRAMME I'!L178</f>
        <v>0</v>
      </c>
      <c r="K178" s="35">
        <f>'DEPENSES PROGRAMME II'!L178</f>
        <v>0</v>
      </c>
      <c r="L178" s="35">
        <f>'DEPENSES PROGRAMME III'!L178</f>
        <v>0</v>
      </c>
      <c r="M178" s="35"/>
      <c r="N178" s="35">
        <f>'DEPENSES PROGRAMME I'!M178</f>
        <v>0</v>
      </c>
      <c r="O178" s="35">
        <f>'DEPENSES PROGRAMME II'!M178</f>
        <v>0</v>
      </c>
      <c r="P178" s="35">
        <f>'DEPENSES PROGRAMME III'!M178</f>
        <v>0</v>
      </c>
      <c r="Q178" s="35"/>
    </row>
    <row r="179" spans="2:17" s="10" customFormat="1" x14ac:dyDescent="0.3">
      <c r="B179" s="27"/>
      <c r="C179" s="17">
        <v>675</v>
      </c>
      <c r="D179" s="17"/>
      <c r="E179" s="17" t="s">
        <v>313</v>
      </c>
      <c r="F179" s="43">
        <f>SUM(F180:F182)</f>
        <v>0</v>
      </c>
      <c r="G179" s="43">
        <f t="shared" ref="G179:H179" si="236">SUM(G180:G182)</f>
        <v>0</v>
      </c>
      <c r="H179" s="43">
        <f t="shared" si="236"/>
        <v>0</v>
      </c>
      <c r="I179" s="43"/>
      <c r="J179" s="43">
        <f>SUM(J180:J182)</f>
        <v>0</v>
      </c>
      <c r="K179" s="43">
        <f t="shared" ref="K179" si="237">SUM(K180:K182)</f>
        <v>0</v>
      </c>
      <c r="L179" s="43">
        <f t="shared" ref="L179" si="238">SUM(L180:L182)</f>
        <v>0</v>
      </c>
      <c r="M179" s="43"/>
      <c r="N179" s="43">
        <f>SUM(N180:N182)</f>
        <v>0</v>
      </c>
      <c r="O179" s="43">
        <f t="shared" ref="O179" si="239">SUM(O180:O182)</f>
        <v>0</v>
      </c>
      <c r="P179" s="43">
        <f t="shared" ref="P179" si="240">SUM(P180:P182)</f>
        <v>0</v>
      </c>
      <c r="Q179" s="43"/>
    </row>
    <row r="180" spans="2:17" x14ac:dyDescent="0.3">
      <c r="B180" s="27"/>
      <c r="C180" s="17"/>
      <c r="D180" s="3">
        <v>6751</v>
      </c>
      <c r="E180" s="3" t="s">
        <v>313</v>
      </c>
      <c r="F180" s="35">
        <f>'DEPENSES PROGRAMME I'!K180</f>
        <v>0</v>
      </c>
      <c r="G180" s="35">
        <f>'DEPENSES PROGRAMME II'!K180</f>
        <v>0</v>
      </c>
      <c r="H180" s="35">
        <f>'DEPENSES PROGRAMME III'!K180</f>
        <v>0</v>
      </c>
      <c r="I180" s="35"/>
      <c r="J180" s="35">
        <f>'DEPENSES PROGRAMME I'!L180</f>
        <v>0</v>
      </c>
      <c r="K180" s="35">
        <f>'DEPENSES PROGRAMME II'!L180</f>
        <v>0</v>
      </c>
      <c r="L180" s="35">
        <f>'DEPENSES PROGRAMME III'!L180</f>
        <v>0</v>
      </c>
      <c r="M180" s="35"/>
      <c r="N180" s="35">
        <f>'DEPENSES PROGRAMME I'!M180</f>
        <v>0</v>
      </c>
      <c r="O180" s="35">
        <f>'DEPENSES PROGRAMME II'!M180</f>
        <v>0</v>
      </c>
      <c r="P180" s="35">
        <f>'DEPENSES PROGRAMME III'!M180</f>
        <v>0</v>
      </c>
      <c r="Q180" s="35"/>
    </row>
    <row r="181" spans="2:17" x14ac:dyDescent="0.3">
      <c r="B181" s="27"/>
      <c r="C181" s="17"/>
      <c r="D181" s="3">
        <v>6752</v>
      </c>
      <c r="E181" s="3" t="s">
        <v>314</v>
      </c>
      <c r="F181" s="35">
        <f>'DEPENSES PROGRAMME I'!K181</f>
        <v>0</v>
      </c>
      <c r="G181" s="35">
        <f>'DEPENSES PROGRAMME II'!K181</f>
        <v>0</v>
      </c>
      <c r="H181" s="35">
        <f>'DEPENSES PROGRAMME III'!K181</f>
        <v>0</v>
      </c>
      <c r="I181" s="35"/>
      <c r="J181" s="35">
        <f>'DEPENSES PROGRAMME I'!L181</f>
        <v>0</v>
      </c>
      <c r="K181" s="35">
        <f>'DEPENSES PROGRAMME II'!L181</f>
        <v>0</v>
      </c>
      <c r="L181" s="35">
        <f>'DEPENSES PROGRAMME III'!L181</f>
        <v>0</v>
      </c>
      <c r="M181" s="35"/>
      <c r="N181" s="35">
        <f>'DEPENSES PROGRAMME I'!M181</f>
        <v>0</v>
      </c>
      <c r="O181" s="35">
        <f>'DEPENSES PROGRAMME II'!M181</f>
        <v>0</v>
      </c>
      <c r="P181" s="35">
        <f>'DEPENSES PROGRAMME III'!M181</f>
        <v>0</v>
      </c>
      <c r="Q181" s="35"/>
    </row>
    <row r="182" spans="2:17" x14ac:dyDescent="0.3">
      <c r="B182" s="27"/>
      <c r="C182" s="17"/>
      <c r="D182" s="3">
        <v>6753</v>
      </c>
      <c r="E182" s="3" t="s">
        <v>315</v>
      </c>
      <c r="F182" s="35">
        <f>'DEPENSES PROGRAMME I'!K182</f>
        <v>0</v>
      </c>
      <c r="G182" s="35">
        <f>'DEPENSES PROGRAMME II'!K182</f>
        <v>0</v>
      </c>
      <c r="H182" s="35">
        <f>'DEPENSES PROGRAMME III'!K182</f>
        <v>0</v>
      </c>
      <c r="I182" s="35"/>
      <c r="J182" s="35">
        <f>'DEPENSES PROGRAMME I'!L182</f>
        <v>0</v>
      </c>
      <c r="K182" s="35">
        <f>'DEPENSES PROGRAMME II'!L182</f>
        <v>0</v>
      </c>
      <c r="L182" s="35">
        <f>'DEPENSES PROGRAMME III'!L182</f>
        <v>0</v>
      </c>
      <c r="M182" s="35"/>
      <c r="N182" s="35">
        <f>'DEPENSES PROGRAMME I'!M182</f>
        <v>0</v>
      </c>
      <c r="O182" s="35">
        <f>'DEPENSES PROGRAMME II'!M182</f>
        <v>0</v>
      </c>
      <c r="P182" s="35">
        <f>'DEPENSES PROGRAMME III'!M182</f>
        <v>0</v>
      </c>
      <c r="Q182" s="35"/>
    </row>
    <row r="183" spans="2:17" s="10" customFormat="1" x14ac:dyDescent="0.3">
      <c r="B183" s="27"/>
      <c r="C183" s="17">
        <v>678</v>
      </c>
      <c r="D183" s="17"/>
      <c r="E183" s="17" t="s">
        <v>316</v>
      </c>
      <c r="F183" s="43">
        <f>SUM(F184:F186)</f>
        <v>0</v>
      </c>
      <c r="G183" s="43">
        <f t="shared" ref="G183:H183" si="241">SUM(G184:G186)</f>
        <v>0</v>
      </c>
      <c r="H183" s="43">
        <f t="shared" si="241"/>
        <v>0</v>
      </c>
      <c r="I183" s="43"/>
      <c r="J183" s="43">
        <f>SUM(J184:J186)</f>
        <v>0</v>
      </c>
      <c r="K183" s="43">
        <f t="shared" ref="K183" si="242">SUM(K184:K186)</f>
        <v>0</v>
      </c>
      <c r="L183" s="43">
        <f t="shared" ref="L183" si="243">SUM(L184:L186)</f>
        <v>0</v>
      </c>
      <c r="M183" s="43"/>
      <c r="N183" s="43">
        <f>SUM(N184:N186)</f>
        <v>0</v>
      </c>
      <c r="O183" s="43">
        <f t="shared" ref="O183" si="244">SUM(O184:O186)</f>
        <v>0</v>
      </c>
      <c r="P183" s="43">
        <f t="shared" ref="P183" si="245">SUM(P184:P186)</f>
        <v>0</v>
      </c>
      <c r="Q183" s="43"/>
    </row>
    <row r="184" spans="2:17" x14ac:dyDescent="0.3">
      <c r="B184" s="27"/>
      <c r="C184" s="17"/>
      <c r="D184" s="3">
        <v>6781</v>
      </c>
      <c r="E184" s="3" t="s">
        <v>317</v>
      </c>
      <c r="F184" s="35">
        <f>'DEPENSES PROGRAMME I'!K184</f>
        <v>0</v>
      </c>
      <c r="G184" s="35">
        <f>'DEPENSES PROGRAMME II'!K184</f>
        <v>0</v>
      </c>
      <c r="H184" s="35">
        <f>'DEPENSES PROGRAMME III'!K184</f>
        <v>0</v>
      </c>
      <c r="I184" s="35"/>
      <c r="J184" s="35">
        <f>'DEPENSES PROGRAMME I'!L184</f>
        <v>0</v>
      </c>
      <c r="K184" s="35">
        <f>'DEPENSES PROGRAMME II'!L184</f>
        <v>0</v>
      </c>
      <c r="L184" s="35">
        <f>'DEPENSES PROGRAMME III'!L184</f>
        <v>0</v>
      </c>
      <c r="M184" s="35"/>
      <c r="N184" s="35">
        <f>'DEPENSES PROGRAMME I'!M184</f>
        <v>0</v>
      </c>
      <c r="O184" s="35">
        <f>'DEPENSES PROGRAMME II'!M184</f>
        <v>0</v>
      </c>
      <c r="P184" s="35">
        <f>'DEPENSES PROGRAMME III'!M184</f>
        <v>0</v>
      </c>
      <c r="Q184" s="35"/>
    </row>
    <row r="185" spans="2:17" x14ac:dyDescent="0.3">
      <c r="B185" s="27"/>
      <c r="C185" s="17"/>
      <c r="D185" s="3">
        <v>6782</v>
      </c>
      <c r="E185" s="3" t="s">
        <v>318</v>
      </c>
      <c r="F185" s="35">
        <f>'DEPENSES PROGRAMME I'!K185</f>
        <v>0</v>
      </c>
      <c r="G185" s="35">
        <f>'DEPENSES PROGRAMME II'!K185</f>
        <v>0</v>
      </c>
      <c r="H185" s="35">
        <f>'DEPENSES PROGRAMME III'!K185</f>
        <v>0</v>
      </c>
      <c r="I185" s="35"/>
      <c r="J185" s="35">
        <f>'DEPENSES PROGRAMME I'!L185</f>
        <v>0</v>
      </c>
      <c r="K185" s="35">
        <f>'DEPENSES PROGRAMME II'!L185</f>
        <v>0</v>
      </c>
      <c r="L185" s="35">
        <f>'DEPENSES PROGRAMME III'!L185</f>
        <v>0</v>
      </c>
      <c r="M185" s="35"/>
      <c r="N185" s="35">
        <f>'DEPENSES PROGRAMME I'!M185</f>
        <v>0</v>
      </c>
      <c r="O185" s="35">
        <f>'DEPENSES PROGRAMME II'!M185</f>
        <v>0</v>
      </c>
      <c r="P185" s="35">
        <f>'DEPENSES PROGRAMME III'!M185</f>
        <v>0</v>
      </c>
      <c r="Q185" s="35"/>
    </row>
    <row r="186" spans="2:17" x14ac:dyDescent="0.3">
      <c r="B186" s="27"/>
      <c r="C186" s="17"/>
      <c r="D186" s="3">
        <v>6788</v>
      </c>
      <c r="E186" s="3" t="s">
        <v>95</v>
      </c>
      <c r="F186" s="35">
        <f>'DEPENSES PROGRAMME I'!K186</f>
        <v>0</v>
      </c>
      <c r="G186" s="35">
        <f>'DEPENSES PROGRAMME II'!K186</f>
        <v>0</v>
      </c>
      <c r="H186" s="35">
        <f>'DEPENSES PROGRAMME III'!K186</f>
        <v>0</v>
      </c>
      <c r="I186" s="35"/>
      <c r="J186" s="35">
        <f>'DEPENSES PROGRAMME I'!L186</f>
        <v>0</v>
      </c>
      <c r="K186" s="35">
        <f>'DEPENSES PROGRAMME II'!L186</f>
        <v>0</v>
      </c>
      <c r="L186" s="35">
        <f>'DEPENSES PROGRAMME III'!L186</f>
        <v>0</v>
      </c>
      <c r="M186" s="35"/>
      <c r="N186" s="35">
        <f>'DEPENSES PROGRAMME I'!M186</f>
        <v>0</v>
      </c>
      <c r="O186" s="35">
        <f>'DEPENSES PROGRAMME II'!M186</f>
        <v>0</v>
      </c>
      <c r="P186" s="35">
        <f>'DEPENSES PROGRAMME III'!M186</f>
        <v>0</v>
      </c>
      <c r="Q186" s="35"/>
    </row>
    <row r="187" spans="2:17" s="10" customFormat="1" ht="30" customHeight="1" x14ac:dyDescent="0.3">
      <c r="B187" s="29"/>
      <c r="C187" s="2"/>
      <c r="D187" s="2"/>
      <c r="E187" s="2" t="s">
        <v>162</v>
      </c>
      <c r="F187" s="38">
        <f>F10+F29+F60+F112+F121+F132+F150+F165</f>
        <v>0</v>
      </c>
      <c r="G187" s="38">
        <f t="shared" ref="G187:H187" si="246">G10+G29+G60+G112+G121+G132+G150+G165</f>
        <v>0</v>
      </c>
      <c r="H187" s="38">
        <f t="shared" si="246"/>
        <v>0</v>
      </c>
      <c r="I187" s="38">
        <f>I10+I29+I60+I112+I121+I132+I150+I165</f>
        <v>0</v>
      </c>
      <c r="J187" s="38">
        <f>J10+J29+J60+J112+J121+J132+J150+J165</f>
        <v>0</v>
      </c>
      <c r="K187" s="38">
        <f t="shared" ref="K187:L187" si="247">K10+K29+K60+K112+K121+K132+K150+K165</f>
        <v>0</v>
      </c>
      <c r="L187" s="38">
        <f t="shared" si="247"/>
        <v>0</v>
      </c>
      <c r="M187" s="38">
        <f>M10+M29+M60+M112+M121+M132+M150+M165</f>
        <v>0</v>
      </c>
      <c r="N187" s="38">
        <f>N10+N29+N60+N112+N121+N132+N150+N165</f>
        <v>0</v>
      </c>
      <c r="O187" s="38">
        <f t="shared" ref="O187:Q187" si="248">O10+O29+O60+O112+O121+O132+O150+O165</f>
        <v>0</v>
      </c>
      <c r="P187" s="38">
        <f t="shared" si="248"/>
        <v>0</v>
      </c>
      <c r="Q187" s="38">
        <f t="shared" si="248"/>
        <v>0</v>
      </c>
    </row>
    <row r="188" spans="2:17" s="10" customFormat="1" ht="30" customHeight="1" x14ac:dyDescent="0.3">
      <c r="B188" s="27">
        <v>12</v>
      </c>
      <c r="C188" s="17"/>
      <c r="D188" s="17"/>
      <c r="E188" s="17" t="s">
        <v>161</v>
      </c>
      <c r="F188" s="35">
        <f>'DEPENSES PROGRAMME I'!K188</f>
        <v>0</v>
      </c>
      <c r="G188" s="35">
        <f>'DEPENSES PROGRAMME II'!K188</f>
        <v>0</v>
      </c>
      <c r="H188" s="35">
        <f>'DEPENSES PROGRAMME III'!K188</f>
        <v>0</v>
      </c>
      <c r="I188" s="43">
        <f>SUM(F188,G188,H188)</f>
        <v>0</v>
      </c>
      <c r="J188" s="35">
        <f>'DEPENSES PROGRAMME I'!L188</f>
        <v>0</v>
      </c>
      <c r="K188" s="35">
        <f>'DEPENSES PROGRAMME II'!L188</f>
        <v>0</v>
      </c>
      <c r="L188" s="35">
        <f>'DEPENSES PROGRAMME III'!L188</f>
        <v>0</v>
      </c>
      <c r="M188" s="43">
        <f>SUM(J188,K188,L188)</f>
        <v>0</v>
      </c>
      <c r="N188" s="35">
        <f>'DEPENSES PROGRAMME I'!N188</f>
        <v>0</v>
      </c>
      <c r="O188" s="35">
        <f>'DEPENSES PROGRAMME II'!S188</f>
        <v>0</v>
      </c>
      <c r="P188" s="35">
        <f>'DEPENSES PROGRAMME III'!S188</f>
        <v>0</v>
      </c>
      <c r="Q188" s="43">
        <f>SUM(N188,O188,P188)</f>
        <v>0</v>
      </c>
    </row>
    <row r="189" spans="2:17" s="10" customFormat="1" ht="30" customHeight="1" x14ac:dyDescent="0.3">
      <c r="B189" s="29"/>
      <c r="C189" s="2"/>
      <c r="D189" s="2"/>
      <c r="E189" s="2" t="s">
        <v>163</v>
      </c>
      <c r="F189" s="38">
        <f>SUM(F188)</f>
        <v>0</v>
      </c>
      <c r="G189" s="38">
        <f t="shared" ref="G189:H189" si="249">SUM(G188)</f>
        <v>0</v>
      </c>
      <c r="H189" s="38">
        <f t="shared" si="249"/>
        <v>0</v>
      </c>
      <c r="I189" s="38">
        <f>SUM(F189,G189,H189)</f>
        <v>0</v>
      </c>
      <c r="J189" s="38">
        <f>SUM(J188)</f>
        <v>0</v>
      </c>
      <c r="K189" s="38">
        <f t="shared" ref="K189:M189" si="250">SUM(K188)</f>
        <v>0</v>
      </c>
      <c r="L189" s="38">
        <f t="shared" si="250"/>
        <v>0</v>
      </c>
      <c r="M189" s="38">
        <f t="shared" si="250"/>
        <v>0</v>
      </c>
      <c r="N189" s="38">
        <f>SUM(N188)</f>
        <v>0</v>
      </c>
      <c r="O189" s="38">
        <f t="shared" ref="O189:Q189" si="251">SUM(O188)</f>
        <v>0</v>
      </c>
      <c r="P189" s="38">
        <f t="shared" si="251"/>
        <v>0</v>
      </c>
      <c r="Q189" s="38">
        <f t="shared" si="251"/>
        <v>0</v>
      </c>
    </row>
    <row r="190" spans="2:17" s="10" customFormat="1" ht="30" customHeight="1" x14ac:dyDescent="0.3">
      <c r="B190" s="29"/>
      <c r="C190" s="2"/>
      <c r="D190" s="2"/>
      <c r="E190" s="2" t="s">
        <v>98</v>
      </c>
      <c r="F190" s="38">
        <f>F187+F189</f>
        <v>0</v>
      </c>
      <c r="G190" s="38">
        <f t="shared" ref="G190" si="252">G187+G189</f>
        <v>0</v>
      </c>
      <c r="H190" s="38">
        <f>H187+H189</f>
        <v>0</v>
      </c>
      <c r="I190" s="38">
        <f>I187+I189</f>
        <v>0</v>
      </c>
      <c r="J190" s="38">
        <f>J187+J189</f>
        <v>0</v>
      </c>
      <c r="K190" s="38">
        <f t="shared" ref="K190:M190" si="253">K187+K189</f>
        <v>0</v>
      </c>
      <c r="L190" s="38">
        <f t="shared" si="253"/>
        <v>0</v>
      </c>
      <c r="M190" s="38">
        <f t="shared" si="253"/>
        <v>0</v>
      </c>
      <c r="N190" s="38">
        <f>N187+N189</f>
        <v>0</v>
      </c>
      <c r="O190" s="38">
        <f t="shared" ref="O190:Q190" si="254">O187+O189</f>
        <v>0</v>
      </c>
      <c r="P190" s="38">
        <f t="shared" si="254"/>
        <v>0</v>
      </c>
      <c r="Q190" s="38">
        <f t="shared" si="254"/>
        <v>0</v>
      </c>
    </row>
    <row r="192" spans="2:17" ht="28.95" customHeight="1" x14ac:dyDescent="0.3">
      <c r="B192" s="71" t="s">
        <v>165</v>
      </c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</row>
    <row r="193" spans="2:17" s="58" customFormat="1" ht="28.95" customHeight="1" x14ac:dyDescent="0.3">
      <c r="B193" s="57"/>
      <c r="C193" s="57"/>
      <c r="D193" s="57"/>
      <c r="E193" s="57"/>
      <c r="F193" s="72" t="s">
        <v>424</v>
      </c>
      <c r="G193" s="72"/>
      <c r="H193" s="72"/>
      <c r="I193" s="72"/>
      <c r="J193" s="72" t="s">
        <v>173</v>
      </c>
      <c r="K193" s="72"/>
      <c r="L193" s="72"/>
      <c r="M193" s="72"/>
      <c r="N193" s="72" t="s">
        <v>174</v>
      </c>
      <c r="O193" s="72"/>
      <c r="P193" s="72"/>
      <c r="Q193" s="72"/>
    </row>
    <row r="194" spans="2:17" s="11" customFormat="1" x14ac:dyDescent="0.3">
      <c r="B194" s="26" t="s">
        <v>138</v>
      </c>
      <c r="C194" s="46"/>
      <c r="D194" s="49"/>
      <c r="E194" s="47" t="s">
        <v>150</v>
      </c>
      <c r="F194" s="59" t="s">
        <v>421</v>
      </c>
      <c r="G194" s="59" t="s">
        <v>422</v>
      </c>
      <c r="H194" s="59" t="s">
        <v>423</v>
      </c>
      <c r="I194" s="59" t="s">
        <v>425</v>
      </c>
      <c r="J194" s="59" t="s">
        <v>421</v>
      </c>
      <c r="K194" s="59" t="s">
        <v>422</v>
      </c>
      <c r="L194" s="59" t="s">
        <v>423</v>
      </c>
      <c r="M194" s="59" t="s">
        <v>425</v>
      </c>
      <c r="N194" s="59" t="s">
        <v>421</v>
      </c>
      <c r="O194" s="59" t="s">
        <v>422</v>
      </c>
      <c r="P194" s="59" t="s">
        <v>423</v>
      </c>
      <c r="Q194" s="59" t="s">
        <v>425</v>
      </c>
    </row>
    <row r="195" spans="2:17" s="10" customFormat="1" ht="30" customHeight="1" x14ac:dyDescent="0.3">
      <c r="B195" s="27">
        <v>16</v>
      </c>
      <c r="C195" s="17"/>
      <c r="D195" s="17"/>
      <c r="E195" s="17" t="s">
        <v>166</v>
      </c>
      <c r="F195" s="43">
        <f>SUM(F196,F199,F202,F204,F206)</f>
        <v>0</v>
      </c>
      <c r="G195" s="43">
        <f>SUM(G196,G199,G202,G204,G206)</f>
        <v>0</v>
      </c>
      <c r="H195" s="43">
        <f>SUM(H196,H199,H202,H204,H206)</f>
        <v>0</v>
      </c>
      <c r="I195" s="43">
        <f>SUM(F195,G195,H195)</f>
        <v>0</v>
      </c>
      <c r="J195" s="43">
        <f>SUM(J196,J199,J202,J204,J206)</f>
        <v>0</v>
      </c>
      <c r="K195" s="43">
        <f>SUM(K196,K199,K202,K204,K206)</f>
        <v>0</v>
      </c>
      <c r="L195" s="43">
        <f>SUM(L196,L199,L202,L204,L206)</f>
        <v>0</v>
      </c>
      <c r="M195" s="43">
        <f>SUM(J195,K195,L195)</f>
        <v>0</v>
      </c>
      <c r="N195" s="43">
        <f>SUM(N196,N199,N202,N204,N206)</f>
        <v>0</v>
      </c>
      <c r="O195" s="43">
        <f>SUM(O196,O199,O202,O204,O206)</f>
        <v>0</v>
      </c>
      <c r="P195" s="43">
        <f>SUM(P196,P199,P202,P204,P206)</f>
        <v>0</v>
      </c>
      <c r="Q195" s="43">
        <f>SUM(N195,O195,P195)</f>
        <v>0</v>
      </c>
    </row>
    <row r="196" spans="2:17" s="10" customFormat="1" x14ac:dyDescent="0.3">
      <c r="B196" s="27"/>
      <c r="C196" s="17">
        <v>161</v>
      </c>
      <c r="D196" s="17"/>
      <c r="E196" s="17" t="s">
        <v>320</v>
      </c>
      <c r="F196" s="43">
        <f>SUM(F197:F198)</f>
        <v>0</v>
      </c>
      <c r="G196" s="43">
        <f t="shared" ref="G196:H196" si="255">SUM(G197:G198)</f>
        <v>0</v>
      </c>
      <c r="H196" s="43">
        <f t="shared" si="255"/>
        <v>0</v>
      </c>
      <c r="I196" s="43"/>
      <c r="J196" s="43">
        <f>SUM(J197:J198)</f>
        <v>0</v>
      </c>
      <c r="K196" s="43">
        <f t="shared" ref="K196" si="256">SUM(K197:K198)</f>
        <v>0</v>
      </c>
      <c r="L196" s="43">
        <f t="shared" ref="L196" si="257">SUM(L197:L198)</f>
        <v>0</v>
      </c>
      <c r="M196" s="43"/>
      <c r="N196" s="43">
        <f>SUM(N197:N198)</f>
        <v>0</v>
      </c>
      <c r="O196" s="43">
        <f t="shared" ref="O196" si="258">SUM(O197:O198)</f>
        <v>0</v>
      </c>
      <c r="P196" s="43">
        <f t="shared" ref="P196" si="259">SUM(P197:P198)</f>
        <v>0</v>
      </c>
      <c r="Q196" s="43"/>
    </row>
    <row r="197" spans="2:17" x14ac:dyDescent="0.3">
      <c r="B197" s="27"/>
      <c r="C197" s="17"/>
      <c r="D197" s="3">
        <v>1611</v>
      </c>
      <c r="E197" s="3" t="s">
        <v>321</v>
      </c>
      <c r="F197" s="35">
        <f>'DEPENSES PROGRAMME I'!K196</f>
        <v>0</v>
      </c>
      <c r="G197" s="35">
        <f>'DEPENSES PROGRAMME II'!K196</f>
        <v>0</v>
      </c>
      <c r="H197" s="35">
        <f>'DEPENSES PROGRAMME III'!K196</f>
        <v>0</v>
      </c>
      <c r="I197" s="35"/>
      <c r="J197" s="35">
        <f>'DEPENSES PROGRAMME I'!L196</f>
        <v>0</v>
      </c>
      <c r="K197" s="35">
        <f>'DEPENSES PROGRAMME II'!L196</f>
        <v>0</v>
      </c>
      <c r="L197" s="35">
        <f>'DEPENSES PROGRAMME III'!L196</f>
        <v>0</v>
      </c>
      <c r="M197" s="35"/>
      <c r="N197" s="35">
        <f>'DEPENSES PROGRAMME I'!M196</f>
        <v>0</v>
      </c>
      <c r="O197" s="35">
        <f>'DEPENSES PROGRAMME II'!M196</f>
        <v>0</v>
      </c>
      <c r="P197" s="35">
        <f>'DEPENSES PROGRAMME III'!M196</f>
        <v>0</v>
      </c>
      <c r="Q197" s="35"/>
    </row>
    <row r="198" spans="2:17" x14ac:dyDescent="0.3">
      <c r="B198" s="27"/>
      <c r="C198" s="17"/>
      <c r="D198" s="3">
        <v>1612</v>
      </c>
      <c r="E198" s="3" t="s">
        <v>322</v>
      </c>
      <c r="F198" s="35">
        <f>'DEPENSES PROGRAMME I'!K197</f>
        <v>0</v>
      </c>
      <c r="G198" s="35">
        <f>'DEPENSES PROGRAMME II'!K197</f>
        <v>0</v>
      </c>
      <c r="H198" s="35">
        <f>'DEPENSES PROGRAMME III'!K197</f>
        <v>0</v>
      </c>
      <c r="I198" s="35"/>
      <c r="J198" s="35">
        <f>'DEPENSES PROGRAMME I'!L197</f>
        <v>0</v>
      </c>
      <c r="K198" s="35">
        <f>'DEPENSES PROGRAMME II'!L197</f>
        <v>0</v>
      </c>
      <c r="L198" s="35">
        <f>'DEPENSES PROGRAMME III'!L197</f>
        <v>0</v>
      </c>
      <c r="M198" s="35"/>
      <c r="N198" s="35">
        <f>'DEPENSES PROGRAMME I'!M197</f>
        <v>0</v>
      </c>
      <c r="O198" s="35">
        <f>'DEPENSES PROGRAMME II'!M197</f>
        <v>0</v>
      </c>
      <c r="P198" s="35">
        <f>'DEPENSES PROGRAMME III'!M197</f>
        <v>0</v>
      </c>
      <c r="Q198" s="35"/>
    </row>
    <row r="199" spans="2:17" s="10" customFormat="1" x14ac:dyDescent="0.3">
      <c r="B199" s="27"/>
      <c r="C199" s="17">
        <v>162</v>
      </c>
      <c r="D199" s="17"/>
      <c r="E199" s="17" t="s">
        <v>323</v>
      </c>
      <c r="F199" s="43">
        <f>SUM(F200:F201)</f>
        <v>0</v>
      </c>
      <c r="G199" s="43">
        <f t="shared" ref="G199:H199" si="260">SUM(G200:G201)</f>
        <v>0</v>
      </c>
      <c r="H199" s="43">
        <f t="shared" si="260"/>
        <v>0</v>
      </c>
      <c r="I199" s="43"/>
      <c r="J199" s="43">
        <f>SUM(J200:J201)</f>
        <v>0</v>
      </c>
      <c r="K199" s="43">
        <f t="shared" ref="K199" si="261">SUM(K200:K201)</f>
        <v>0</v>
      </c>
      <c r="L199" s="43">
        <f t="shared" ref="L199" si="262">SUM(L200:L201)</f>
        <v>0</v>
      </c>
      <c r="M199" s="43"/>
      <c r="N199" s="43">
        <f>SUM(N200:N201)</f>
        <v>0</v>
      </c>
      <c r="O199" s="43">
        <f t="shared" ref="O199" si="263">SUM(O200:O201)</f>
        <v>0</v>
      </c>
      <c r="P199" s="43">
        <f t="shared" ref="P199" si="264">SUM(P200:P201)</f>
        <v>0</v>
      </c>
      <c r="Q199" s="43"/>
    </row>
    <row r="200" spans="2:17" x14ac:dyDescent="0.3">
      <c r="B200" s="27"/>
      <c r="C200" s="17"/>
      <c r="D200" s="3">
        <v>1621</v>
      </c>
      <c r="E200" s="3" t="s">
        <v>321</v>
      </c>
      <c r="F200" s="35">
        <f>'DEPENSES PROGRAMME I'!K199</f>
        <v>0</v>
      </c>
      <c r="G200" s="35">
        <f>'DEPENSES PROGRAMME II'!K199</f>
        <v>0</v>
      </c>
      <c r="H200" s="35">
        <f>'DEPENSES PROGRAMME III'!K199</f>
        <v>0</v>
      </c>
      <c r="I200" s="35"/>
      <c r="J200" s="35">
        <f>'DEPENSES PROGRAMME I'!L199</f>
        <v>0</v>
      </c>
      <c r="K200" s="35">
        <f>'DEPENSES PROGRAMME II'!L199</f>
        <v>0</v>
      </c>
      <c r="L200" s="35">
        <f>'DEPENSES PROGRAMME III'!L199</f>
        <v>0</v>
      </c>
      <c r="M200" s="35"/>
      <c r="N200" s="35">
        <f>'DEPENSES PROGRAMME I'!M199</f>
        <v>0</v>
      </c>
      <c r="O200" s="35">
        <f>'DEPENSES PROGRAMME II'!M199</f>
        <v>0</v>
      </c>
      <c r="P200" s="35">
        <f>'DEPENSES PROGRAMME III'!M199</f>
        <v>0</v>
      </c>
      <c r="Q200" s="35"/>
    </row>
    <row r="201" spans="2:17" x14ac:dyDescent="0.3">
      <c r="B201" s="27"/>
      <c r="C201" s="17"/>
      <c r="D201" s="3">
        <v>1622</v>
      </c>
      <c r="E201" s="3" t="s">
        <v>322</v>
      </c>
      <c r="F201" s="35">
        <f>'DEPENSES PROGRAMME I'!K200</f>
        <v>0</v>
      </c>
      <c r="G201" s="35">
        <f>'DEPENSES PROGRAMME II'!K200</f>
        <v>0</v>
      </c>
      <c r="H201" s="35">
        <f>'DEPENSES PROGRAMME III'!K200</f>
        <v>0</v>
      </c>
      <c r="I201" s="35"/>
      <c r="J201" s="35">
        <f>'DEPENSES PROGRAMME I'!L200</f>
        <v>0</v>
      </c>
      <c r="K201" s="35">
        <f>'DEPENSES PROGRAMME II'!L200</f>
        <v>0</v>
      </c>
      <c r="L201" s="35">
        <f>'DEPENSES PROGRAMME III'!L200</f>
        <v>0</v>
      </c>
      <c r="M201" s="35"/>
      <c r="N201" s="35">
        <f>'DEPENSES PROGRAMME I'!M200</f>
        <v>0</v>
      </c>
      <c r="O201" s="35">
        <f>'DEPENSES PROGRAMME II'!M200</f>
        <v>0</v>
      </c>
      <c r="P201" s="35">
        <f>'DEPENSES PROGRAMME III'!M200</f>
        <v>0</v>
      </c>
      <c r="Q201" s="35"/>
    </row>
    <row r="202" spans="2:17" s="10" customFormat="1" x14ac:dyDescent="0.3">
      <c r="B202" s="27"/>
      <c r="C202" s="17">
        <v>165</v>
      </c>
      <c r="D202" s="17"/>
      <c r="E202" s="17" t="s">
        <v>324</v>
      </c>
      <c r="F202" s="43">
        <f>SUM(F203)</f>
        <v>0</v>
      </c>
      <c r="G202" s="43">
        <f t="shared" ref="G202:H202" si="265">SUM(G203)</f>
        <v>0</v>
      </c>
      <c r="H202" s="43">
        <f t="shared" si="265"/>
        <v>0</v>
      </c>
      <c r="I202" s="43"/>
      <c r="J202" s="43">
        <f>SUM(J203)</f>
        <v>0</v>
      </c>
      <c r="K202" s="43">
        <f t="shared" ref="K202" si="266">SUM(K203)</f>
        <v>0</v>
      </c>
      <c r="L202" s="43">
        <f t="shared" ref="L202" si="267">SUM(L203)</f>
        <v>0</v>
      </c>
      <c r="M202" s="43"/>
      <c r="N202" s="43">
        <f>SUM(N203)</f>
        <v>0</v>
      </c>
      <c r="O202" s="43">
        <f t="shared" ref="O202" si="268">SUM(O203)</f>
        <v>0</v>
      </c>
      <c r="P202" s="43">
        <f t="shared" ref="P202" si="269">SUM(P203)</f>
        <v>0</v>
      </c>
      <c r="Q202" s="43"/>
    </row>
    <row r="203" spans="2:17" x14ac:dyDescent="0.3">
      <c r="B203" s="27"/>
      <c r="C203" s="17"/>
      <c r="D203" s="3">
        <v>1650</v>
      </c>
      <c r="E203" s="3" t="s">
        <v>324</v>
      </c>
      <c r="F203" s="35">
        <f>'DEPENSES PROGRAMME I'!K202</f>
        <v>0</v>
      </c>
      <c r="G203" s="35">
        <f>'DEPENSES PROGRAMME II'!K202</f>
        <v>0</v>
      </c>
      <c r="H203" s="35">
        <f>'DEPENSES PROGRAMME III'!K202</f>
        <v>0</v>
      </c>
      <c r="I203" s="35"/>
      <c r="J203" s="35">
        <f>'DEPENSES PROGRAMME I'!L202</f>
        <v>0</v>
      </c>
      <c r="K203" s="35">
        <f>'DEPENSES PROGRAMME II'!L202</f>
        <v>0</v>
      </c>
      <c r="L203" s="35">
        <f>'DEPENSES PROGRAMME III'!L202</f>
        <v>0</v>
      </c>
      <c r="M203" s="35"/>
      <c r="N203" s="35">
        <f>'DEPENSES PROGRAMME I'!M202</f>
        <v>0</v>
      </c>
      <c r="O203" s="35">
        <f>'DEPENSES PROGRAMME II'!M202</f>
        <v>0</v>
      </c>
      <c r="P203" s="35">
        <f>'DEPENSES PROGRAMME III'!M202</f>
        <v>0</v>
      </c>
      <c r="Q203" s="35"/>
    </row>
    <row r="204" spans="2:17" s="10" customFormat="1" x14ac:dyDescent="0.3">
      <c r="B204" s="27"/>
      <c r="C204" s="17">
        <v>167</v>
      </c>
      <c r="D204" s="17"/>
      <c r="E204" s="17" t="s">
        <v>325</v>
      </c>
      <c r="F204" s="43">
        <f>SUM(F205)</f>
        <v>0</v>
      </c>
      <c r="G204" s="43">
        <f t="shared" ref="G204:H204" si="270">SUM(G205)</f>
        <v>0</v>
      </c>
      <c r="H204" s="43">
        <f t="shared" si="270"/>
        <v>0</v>
      </c>
      <c r="I204" s="43"/>
      <c r="J204" s="43">
        <f>SUM(J205)</f>
        <v>0</v>
      </c>
      <c r="K204" s="43">
        <f t="shared" ref="K204" si="271">SUM(K205)</f>
        <v>0</v>
      </c>
      <c r="L204" s="43">
        <f t="shared" ref="L204" si="272">SUM(L205)</f>
        <v>0</v>
      </c>
      <c r="M204" s="43"/>
      <c r="N204" s="43">
        <f>SUM(N205)</f>
        <v>0</v>
      </c>
      <c r="O204" s="43">
        <f t="shared" ref="O204" si="273">SUM(O205)</f>
        <v>0</v>
      </c>
      <c r="P204" s="43">
        <f t="shared" ref="P204" si="274">SUM(P205)</f>
        <v>0</v>
      </c>
      <c r="Q204" s="43"/>
    </row>
    <row r="205" spans="2:17" x14ac:dyDescent="0.3">
      <c r="B205" s="27"/>
      <c r="C205" s="17"/>
      <c r="D205" s="3">
        <v>1670</v>
      </c>
      <c r="E205" s="3" t="s">
        <v>325</v>
      </c>
      <c r="F205" s="35">
        <f>'DEPENSES PROGRAMME I'!K204</f>
        <v>0</v>
      </c>
      <c r="G205" s="35">
        <f>'DEPENSES PROGRAMME II'!K204</f>
        <v>0</v>
      </c>
      <c r="H205" s="35">
        <f>'DEPENSES PROGRAMME III'!K204</f>
        <v>0</v>
      </c>
      <c r="I205" s="35"/>
      <c r="J205" s="35">
        <f>'DEPENSES PROGRAMME I'!L204</f>
        <v>0</v>
      </c>
      <c r="K205" s="35">
        <f>'DEPENSES PROGRAMME II'!L204</f>
        <v>0</v>
      </c>
      <c r="L205" s="35">
        <f>'DEPENSES PROGRAMME III'!L204</f>
        <v>0</v>
      </c>
      <c r="M205" s="35"/>
      <c r="N205" s="35">
        <f>'DEPENSES PROGRAMME I'!M204</f>
        <v>0</v>
      </c>
      <c r="O205" s="35">
        <f>'DEPENSES PROGRAMME II'!M204</f>
        <v>0</v>
      </c>
      <c r="P205" s="35">
        <f>'DEPENSES PROGRAMME III'!M204</f>
        <v>0</v>
      </c>
      <c r="Q205" s="35"/>
    </row>
    <row r="206" spans="2:17" s="10" customFormat="1" x14ac:dyDescent="0.3">
      <c r="B206" s="27"/>
      <c r="C206" s="17">
        <v>168</v>
      </c>
      <c r="D206" s="17"/>
      <c r="E206" s="17" t="s">
        <v>326</v>
      </c>
      <c r="F206" s="43">
        <f>SUM(F207:F208)</f>
        <v>0</v>
      </c>
      <c r="G206" s="43">
        <f t="shared" ref="G206" si="275">SUM(G207:G208)</f>
        <v>0</v>
      </c>
      <c r="H206" s="43">
        <f>SUM(H207:H208)</f>
        <v>0</v>
      </c>
      <c r="I206" s="43"/>
      <c r="J206" s="43">
        <f>SUM(J207:J208)</f>
        <v>0</v>
      </c>
      <c r="K206" s="43">
        <f t="shared" ref="K206" si="276">SUM(K207:K208)</f>
        <v>0</v>
      </c>
      <c r="L206" s="43">
        <f t="shared" ref="L206" si="277">SUM(L207:L208)</f>
        <v>0</v>
      </c>
      <c r="M206" s="43"/>
      <c r="N206" s="43">
        <f>SUM(N207:N208)</f>
        <v>0</v>
      </c>
      <c r="O206" s="43">
        <f t="shared" ref="O206" si="278">SUM(O207:O208)</f>
        <v>0</v>
      </c>
      <c r="P206" s="43">
        <f t="shared" ref="P206" si="279">SUM(P207:P208)</f>
        <v>0</v>
      </c>
      <c r="Q206" s="43"/>
    </row>
    <row r="207" spans="2:17" x14ac:dyDescent="0.3">
      <c r="B207" s="27"/>
      <c r="C207" s="17"/>
      <c r="D207" s="3">
        <v>1680</v>
      </c>
      <c r="E207" s="3" t="s">
        <v>326</v>
      </c>
      <c r="F207" s="35">
        <f>'DEPENSES PROGRAMME I'!K206</f>
        <v>0</v>
      </c>
      <c r="G207" s="35">
        <f>'DEPENSES PROGRAMME II'!K206</f>
        <v>0</v>
      </c>
      <c r="H207" s="35">
        <f>'DEPENSES PROGRAMME III'!K206</f>
        <v>0</v>
      </c>
      <c r="I207" s="35"/>
      <c r="J207" s="35">
        <f>'DEPENSES PROGRAMME I'!L206</f>
        <v>0</v>
      </c>
      <c r="K207" s="35">
        <f>'DEPENSES PROGRAMME II'!L206</f>
        <v>0</v>
      </c>
      <c r="L207" s="35">
        <f>'DEPENSES PROGRAMME III'!L206</f>
        <v>0</v>
      </c>
      <c r="M207" s="35"/>
      <c r="N207" s="35">
        <f>'DEPENSES PROGRAMME I'!M206</f>
        <v>0</v>
      </c>
      <c r="O207" s="35">
        <f>'DEPENSES PROGRAMME II'!M206</f>
        <v>0</v>
      </c>
      <c r="P207" s="35">
        <f>'DEPENSES PROGRAMME III'!M206</f>
        <v>0</v>
      </c>
      <c r="Q207" s="35"/>
    </row>
    <row r="208" spans="2:17" x14ac:dyDescent="0.3">
      <c r="B208" s="27"/>
      <c r="C208" s="17"/>
      <c r="D208" s="3">
        <v>1688</v>
      </c>
      <c r="E208" s="3" t="s">
        <v>327</v>
      </c>
      <c r="F208" s="35">
        <f>'DEPENSES PROGRAMME I'!K207</f>
        <v>0</v>
      </c>
      <c r="G208" s="35">
        <f>'DEPENSES PROGRAMME II'!K207</f>
        <v>0</v>
      </c>
      <c r="H208" s="35">
        <f>'DEPENSES PROGRAMME III'!K207</f>
        <v>0</v>
      </c>
      <c r="I208" s="35"/>
      <c r="J208" s="35">
        <f>'DEPENSES PROGRAMME I'!L207</f>
        <v>0</v>
      </c>
      <c r="K208" s="35">
        <f>'DEPENSES PROGRAMME II'!L207</f>
        <v>0</v>
      </c>
      <c r="L208" s="35">
        <f>'DEPENSES PROGRAMME III'!L207</f>
        <v>0</v>
      </c>
      <c r="M208" s="35"/>
      <c r="N208" s="35">
        <f>'DEPENSES PROGRAMME I'!M207</f>
        <v>0</v>
      </c>
      <c r="O208" s="35">
        <f>'DEPENSES PROGRAMME II'!M207</f>
        <v>0</v>
      </c>
      <c r="P208" s="35">
        <f>'DEPENSES PROGRAMME III'!M207</f>
        <v>0</v>
      </c>
      <c r="Q208" s="35"/>
    </row>
    <row r="209" spans="2:17" s="10" customFormat="1" ht="30" customHeight="1" x14ac:dyDescent="0.3">
      <c r="B209" s="27">
        <v>20</v>
      </c>
      <c r="C209" s="17"/>
      <c r="D209" s="17"/>
      <c r="E209" s="17" t="s">
        <v>167</v>
      </c>
      <c r="F209" s="43">
        <f>SUM(F210,F219,F222)</f>
        <v>0</v>
      </c>
      <c r="G209" s="43">
        <f t="shared" ref="G209:H209" si="280">SUM(G210,G219,G222)</f>
        <v>0</v>
      </c>
      <c r="H209" s="43">
        <f t="shared" si="280"/>
        <v>0</v>
      </c>
      <c r="I209" s="43">
        <f>SUM(F209,G209,H209)</f>
        <v>0</v>
      </c>
      <c r="J209" s="43">
        <f>SUM(J210,J219,J222)</f>
        <v>0</v>
      </c>
      <c r="K209" s="43">
        <f t="shared" ref="K209" si="281">SUM(K210,K219,K222)</f>
        <v>0</v>
      </c>
      <c r="L209" s="43">
        <f t="shared" ref="L209" si="282">SUM(L210,L219,L222)</f>
        <v>0</v>
      </c>
      <c r="M209" s="43">
        <f>SUM(J209,K209,L209)</f>
        <v>0</v>
      </c>
      <c r="N209" s="43">
        <f>SUM(N210,N219,N222)</f>
        <v>0</v>
      </c>
      <c r="O209" s="43">
        <f t="shared" ref="O209" si="283">SUM(O210,O219,O222)</f>
        <v>0</v>
      </c>
      <c r="P209" s="43">
        <f t="shared" ref="P209" si="284">SUM(P210,P219,P222)</f>
        <v>0</v>
      </c>
      <c r="Q209" s="43">
        <f>SUM(N209,O209,P209)</f>
        <v>0</v>
      </c>
    </row>
    <row r="210" spans="2:17" s="10" customFormat="1" x14ac:dyDescent="0.3">
      <c r="B210" s="27"/>
      <c r="C210" s="17">
        <v>201</v>
      </c>
      <c r="D210" s="17"/>
      <c r="E210" s="17" t="s">
        <v>125</v>
      </c>
      <c r="F210" s="43">
        <f>SUM(F211:F218)</f>
        <v>0</v>
      </c>
      <c r="G210" s="43">
        <f t="shared" ref="G210:H210" si="285">SUM(G211:G218)</f>
        <v>0</v>
      </c>
      <c r="H210" s="43">
        <f t="shared" si="285"/>
        <v>0</v>
      </c>
      <c r="I210" s="43"/>
      <c r="J210" s="43">
        <f>SUM(J211:J218)</f>
        <v>0</v>
      </c>
      <c r="K210" s="43">
        <f t="shared" ref="K210" si="286">SUM(K211:K218)</f>
        <v>0</v>
      </c>
      <c r="L210" s="43">
        <f t="shared" ref="L210" si="287">SUM(L211:L218)</f>
        <v>0</v>
      </c>
      <c r="M210" s="43"/>
      <c r="N210" s="43">
        <f>SUM(N211:N218)</f>
        <v>0</v>
      </c>
      <c r="O210" s="43">
        <f t="shared" ref="O210" si="288">SUM(O211:O218)</f>
        <v>0</v>
      </c>
      <c r="P210" s="43">
        <f t="shared" ref="P210" si="289">SUM(P211:P218)</f>
        <v>0</v>
      </c>
      <c r="Q210" s="43"/>
    </row>
    <row r="211" spans="2:17" x14ac:dyDescent="0.3">
      <c r="B211" s="27"/>
      <c r="C211" s="17"/>
      <c r="D211" s="3">
        <v>2011</v>
      </c>
      <c r="E211" s="3" t="s">
        <v>328</v>
      </c>
      <c r="F211" s="35">
        <f>'DEPENSES PROGRAMME I'!K210</f>
        <v>0</v>
      </c>
      <c r="G211" s="35">
        <f>'DEPENSES PROGRAMME II'!K210</f>
        <v>0</v>
      </c>
      <c r="H211" s="35">
        <f>'DEPENSES PROGRAMME III'!K210</f>
        <v>0</v>
      </c>
      <c r="I211" s="35"/>
      <c r="J211" s="35">
        <f>'DEPENSES PROGRAMME I'!L210</f>
        <v>0</v>
      </c>
      <c r="K211" s="35">
        <f>'DEPENSES PROGRAMME II'!L210</f>
        <v>0</v>
      </c>
      <c r="L211" s="35">
        <f>'DEPENSES PROGRAMME III'!L210</f>
        <v>0</v>
      </c>
      <c r="M211" s="35"/>
      <c r="N211" s="35">
        <f>'DEPENSES PROGRAMME I'!M210</f>
        <v>0</v>
      </c>
      <c r="O211" s="35">
        <f>'DEPENSES PROGRAMME II'!M210</f>
        <v>0</v>
      </c>
      <c r="P211" s="35">
        <f>'DEPENSES PROGRAMME III'!M210</f>
        <v>0</v>
      </c>
      <c r="Q211" s="35"/>
    </row>
    <row r="212" spans="2:17" x14ac:dyDescent="0.3">
      <c r="B212" s="27"/>
      <c r="C212" s="17"/>
      <c r="D212" s="3">
        <v>2012</v>
      </c>
      <c r="E212" s="3" t="s">
        <v>329</v>
      </c>
      <c r="F212" s="35">
        <f>'DEPENSES PROGRAMME I'!K211</f>
        <v>0</v>
      </c>
      <c r="G212" s="35">
        <f>'DEPENSES PROGRAMME II'!K211</f>
        <v>0</v>
      </c>
      <c r="H212" s="35">
        <f>'DEPENSES PROGRAMME III'!K211</f>
        <v>0</v>
      </c>
      <c r="I212" s="35"/>
      <c r="J212" s="35">
        <f>'DEPENSES PROGRAMME I'!L211</f>
        <v>0</v>
      </c>
      <c r="K212" s="35">
        <f>'DEPENSES PROGRAMME II'!L211</f>
        <v>0</v>
      </c>
      <c r="L212" s="35">
        <f>'DEPENSES PROGRAMME III'!L211</f>
        <v>0</v>
      </c>
      <c r="M212" s="35"/>
      <c r="N212" s="35">
        <f>'DEPENSES PROGRAMME I'!M211</f>
        <v>0</v>
      </c>
      <c r="O212" s="35">
        <f>'DEPENSES PROGRAMME II'!M211</f>
        <v>0</v>
      </c>
      <c r="P212" s="35">
        <f>'DEPENSES PROGRAMME III'!M211</f>
        <v>0</v>
      </c>
      <c r="Q212" s="35"/>
    </row>
    <row r="213" spans="2:17" x14ac:dyDescent="0.3">
      <c r="B213" s="27"/>
      <c r="C213" s="17"/>
      <c r="D213" s="3">
        <v>2013</v>
      </c>
      <c r="E213" s="3" t="s">
        <v>330</v>
      </c>
      <c r="F213" s="35">
        <f>'DEPENSES PROGRAMME I'!K212</f>
        <v>0</v>
      </c>
      <c r="G213" s="35">
        <f>'DEPENSES PROGRAMME II'!K212</f>
        <v>0</v>
      </c>
      <c r="H213" s="35">
        <f>'DEPENSES PROGRAMME III'!K212</f>
        <v>0</v>
      </c>
      <c r="I213" s="35"/>
      <c r="J213" s="35">
        <f>'DEPENSES PROGRAMME I'!L212</f>
        <v>0</v>
      </c>
      <c r="K213" s="35">
        <f>'DEPENSES PROGRAMME II'!L212</f>
        <v>0</v>
      </c>
      <c r="L213" s="35">
        <f>'DEPENSES PROGRAMME III'!L212</f>
        <v>0</v>
      </c>
      <c r="M213" s="35"/>
      <c r="N213" s="35">
        <f>'DEPENSES PROGRAMME I'!M212</f>
        <v>0</v>
      </c>
      <c r="O213" s="35">
        <f>'DEPENSES PROGRAMME II'!M212</f>
        <v>0</v>
      </c>
      <c r="P213" s="35">
        <f>'DEPENSES PROGRAMME III'!M212</f>
        <v>0</v>
      </c>
      <c r="Q213" s="35"/>
    </row>
    <row r="214" spans="2:17" x14ac:dyDescent="0.3">
      <c r="B214" s="27"/>
      <c r="C214" s="17"/>
      <c r="D214" s="3">
        <v>2014</v>
      </c>
      <c r="E214" s="3" t="s">
        <v>331</v>
      </c>
      <c r="F214" s="35">
        <f>'DEPENSES PROGRAMME I'!K213</f>
        <v>0</v>
      </c>
      <c r="G214" s="35">
        <f>'DEPENSES PROGRAMME II'!K213</f>
        <v>0</v>
      </c>
      <c r="H214" s="35">
        <f>'DEPENSES PROGRAMME III'!K213</f>
        <v>0</v>
      </c>
      <c r="I214" s="35"/>
      <c r="J214" s="35">
        <f>'DEPENSES PROGRAMME I'!L213</f>
        <v>0</v>
      </c>
      <c r="K214" s="35">
        <f>'DEPENSES PROGRAMME II'!L213</f>
        <v>0</v>
      </c>
      <c r="L214" s="35">
        <f>'DEPENSES PROGRAMME III'!L213</f>
        <v>0</v>
      </c>
      <c r="M214" s="35"/>
      <c r="N214" s="35">
        <f>'DEPENSES PROGRAMME I'!M213</f>
        <v>0</v>
      </c>
      <c r="O214" s="35">
        <f>'DEPENSES PROGRAMME II'!M213</f>
        <v>0</v>
      </c>
      <c r="P214" s="35">
        <f>'DEPENSES PROGRAMME III'!M213</f>
        <v>0</v>
      </c>
      <c r="Q214" s="35"/>
    </row>
    <row r="215" spans="2:17" x14ac:dyDescent="0.3">
      <c r="B215" s="27"/>
      <c r="C215" s="17"/>
      <c r="D215" s="3">
        <v>2015</v>
      </c>
      <c r="E215" s="3" t="s">
        <v>332</v>
      </c>
      <c r="F215" s="35">
        <f>'DEPENSES PROGRAMME I'!K214</f>
        <v>0</v>
      </c>
      <c r="G215" s="35">
        <f>'DEPENSES PROGRAMME II'!K214</f>
        <v>0</v>
      </c>
      <c r="H215" s="35">
        <f>'DEPENSES PROGRAMME III'!K214</f>
        <v>0</v>
      </c>
      <c r="I215" s="35"/>
      <c r="J215" s="35">
        <f>'DEPENSES PROGRAMME I'!L214</f>
        <v>0</v>
      </c>
      <c r="K215" s="35">
        <f>'DEPENSES PROGRAMME II'!L214</f>
        <v>0</v>
      </c>
      <c r="L215" s="35">
        <f>'DEPENSES PROGRAMME III'!L214</f>
        <v>0</v>
      </c>
      <c r="M215" s="35"/>
      <c r="N215" s="35">
        <f>'DEPENSES PROGRAMME I'!M214</f>
        <v>0</v>
      </c>
      <c r="O215" s="35">
        <f>'DEPENSES PROGRAMME II'!M214</f>
        <v>0</v>
      </c>
      <c r="P215" s="35">
        <f>'DEPENSES PROGRAMME III'!M214</f>
        <v>0</v>
      </c>
      <c r="Q215" s="35"/>
    </row>
    <row r="216" spans="2:17" x14ac:dyDescent="0.3">
      <c r="B216" s="27"/>
      <c r="C216" s="17"/>
      <c r="D216" s="3">
        <v>2016</v>
      </c>
      <c r="E216" s="3" t="s">
        <v>333</v>
      </c>
      <c r="F216" s="35">
        <f>'DEPENSES PROGRAMME I'!K215</f>
        <v>0</v>
      </c>
      <c r="G216" s="35">
        <f>'DEPENSES PROGRAMME II'!K215</f>
        <v>0</v>
      </c>
      <c r="H216" s="35">
        <f>'DEPENSES PROGRAMME III'!K215</f>
        <v>0</v>
      </c>
      <c r="I216" s="35"/>
      <c r="J216" s="35">
        <f>'DEPENSES PROGRAMME I'!L215</f>
        <v>0</v>
      </c>
      <c r="K216" s="35">
        <f>'DEPENSES PROGRAMME II'!L215</f>
        <v>0</v>
      </c>
      <c r="L216" s="35">
        <f>'DEPENSES PROGRAMME III'!L215</f>
        <v>0</v>
      </c>
      <c r="M216" s="35"/>
      <c r="N216" s="35">
        <f>'DEPENSES PROGRAMME I'!M215</f>
        <v>0</v>
      </c>
      <c r="O216" s="35">
        <f>'DEPENSES PROGRAMME II'!M215</f>
        <v>0</v>
      </c>
      <c r="P216" s="35">
        <f>'DEPENSES PROGRAMME III'!M215</f>
        <v>0</v>
      </c>
      <c r="Q216" s="35"/>
    </row>
    <row r="217" spans="2:17" x14ac:dyDescent="0.3">
      <c r="B217" s="27"/>
      <c r="C217" s="17"/>
      <c r="D217" s="3">
        <v>2017</v>
      </c>
      <c r="E217" s="3" t="s">
        <v>334</v>
      </c>
      <c r="F217" s="35">
        <f>'DEPENSES PROGRAMME I'!K216</f>
        <v>0</v>
      </c>
      <c r="G217" s="35">
        <f>'DEPENSES PROGRAMME II'!K216</f>
        <v>0</v>
      </c>
      <c r="H217" s="35">
        <f>'DEPENSES PROGRAMME III'!K216</f>
        <v>0</v>
      </c>
      <c r="I217" s="35"/>
      <c r="J217" s="35">
        <f>'DEPENSES PROGRAMME I'!L216</f>
        <v>0</v>
      </c>
      <c r="K217" s="35">
        <f>'DEPENSES PROGRAMME II'!L216</f>
        <v>0</v>
      </c>
      <c r="L217" s="35">
        <f>'DEPENSES PROGRAMME III'!L216</f>
        <v>0</v>
      </c>
      <c r="M217" s="35"/>
      <c r="N217" s="35">
        <f>'DEPENSES PROGRAMME I'!M216</f>
        <v>0</v>
      </c>
      <c r="O217" s="35">
        <f>'DEPENSES PROGRAMME II'!M216</f>
        <v>0</v>
      </c>
      <c r="P217" s="35">
        <f>'DEPENSES PROGRAMME III'!M216</f>
        <v>0</v>
      </c>
      <c r="Q217" s="35"/>
    </row>
    <row r="218" spans="2:17" x14ac:dyDescent="0.3">
      <c r="B218" s="27"/>
      <c r="C218" s="17"/>
      <c r="D218" s="3">
        <v>2018</v>
      </c>
      <c r="E218" s="3" t="s">
        <v>95</v>
      </c>
      <c r="F218" s="35">
        <f>'DEPENSES PROGRAMME I'!K217</f>
        <v>0</v>
      </c>
      <c r="G218" s="35">
        <f>'DEPENSES PROGRAMME II'!K217</f>
        <v>0</v>
      </c>
      <c r="H218" s="35">
        <f>'DEPENSES PROGRAMME III'!K217</f>
        <v>0</v>
      </c>
      <c r="I218" s="35"/>
      <c r="J218" s="35">
        <f>'DEPENSES PROGRAMME I'!L217</f>
        <v>0</v>
      </c>
      <c r="K218" s="35">
        <f>'DEPENSES PROGRAMME II'!L217</f>
        <v>0</v>
      </c>
      <c r="L218" s="35">
        <f>'DEPENSES PROGRAMME III'!L217</f>
        <v>0</v>
      </c>
      <c r="M218" s="35"/>
      <c r="N218" s="35">
        <f>'DEPENSES PROGRAMME I'!M217</f>
        <v>0</v>
      </c>
      <c r="O218" s="35">
        <f>'DEPENSES PROGRAMME II'!M217</f>
        <v>0</v>
      </c>
      <c r="P218" s="35">
        <f>'DEPENSES PROGRAMME III'!M217</f>
        <v>0</v>
      </c>
      <c r="Q218" s="35"/>
    </row>
    <row r="219" spans="2:17" s="10" customFormat="1" x14ac:dyDescent="0.3">
      <c r="B219" s="27"/>
      <c r="C219" s="17">
        <v>205</v>
      </c>
      <c r="D219" s="17"/>
      <c r="E219" s="17" t="s">
        <v>335</v>
      </c>
      <c r="F219" s="43">
        <f>SUM(F220:F221)</f>
        <v>0</v>
      </c>
      <c r="G219" s="43">
        <f t="shared" ref="G219:H219" si="290">SUM(G220:G221)</f>
        <v>0</v>
      </c>
      <c r="H219" s="43">
        <f t="shared" si="290"/>
        <v>0</v>
      </c>
      <c r="I219" s="43"/>
      <c r="J219" s="43">
        <f>SUM(J220:J221)</f>
        <v>0</v>
      </c>
      <c r="K219" s="43">
        <f t="shared" ref="K219" si="291">SUM(K220:K221)</f>
        <v>0</v>
      </c>
      <c r="L219" s="43">
        <f t="shared" ref="L219" si="292">SUM(L220:L221)</f>
        <v>0</v>
      </c>
      <c r="M219" s="43"/>
      <c r="N219" s="43">
        <f>SUM(N220:N221)</f>
        <v>0</v>
      </c>
      <c r="O219" s="43">
        <f t="shared" ref="O219" si="293">SUM(O220:O221)</f>
        <v>0</v>
      </c>
      <c r="P219" s="43">
        <f t="shared" ref="P219" si="294">SUM(P220:P221)</f>
        <v>0</v>
      </c>
      <c r="Q219" s="43"/>
    </row>
    <row r="220" spans="2:17" x14ac:dyDescent="0.3">
      <c r="B220" s="27"/>
      <c r="C220" s="17"/>
      <c r="D220" s="3">
        <v>2051</v>
      </c>
      <c r="E220" s="3" t="s">
        <v>336</v>
      </c>
      <c r="F220" s="35">
        <f>'DEPENSES PROGRAMME I'!K219</f>
        <v>0</v>
      </c>
      <c r="G220" s="35">
        <f>'DEPENSES PROGRAMME II'!K219</f>
        <v>0</v>
      </c>
      <c r="H220" s="35">
        <f>'DEPENSES PROGRAMME III'!K219</f>
        <v>0</v>
      </c>
      <c r="I220" s="35"/>
      <c r="J220" s="35">
        <f>'DEPENSES PROGRAMME I'!L219</f>
        <v>0</v>
      </c>
      <c r="K220" s="35">
        <f>'DEPENSES PROGRAMME II'!L219</f>
        <v>0</v>
      </c>
      <c r="L220" s="35">
        <f>'DEPENSES PROGRAMME III'!L219</f>
        <v>0</v>
      </c>
      <c r="M220" s="35"/>
      <c r="N220" s="35">
        <f>'DEPENSES PROGRAMME I'!M219</f>
        <v>0</v>
      </c>
      <c r="O220" s="35">
        <f>'DEPENSES PROGRAMME II'!M219</f>
        <v>0</v>
      </c>
      <c r="P220" s="35">
        <f>'DEPENSES PROGRAMME III'!M219</f>
        <v>0</v>
      </c>
      <c r="Q220" s="35"/>
    </row>
    <row r="221" spans="2:17" x14ac:dyDescent="0.3">
      <c r="B221" s="27"/>
      <c r="C221" s="17"/>
      <c r="D221" s="3">
        <v>2052</v>
      </c>
      <c r="E221" s="3" t="s">
        <v>337</v>
      </c>
      <c r="F221" s="35">
        <f>'DEPENSES PROGRAMME I'!K220</f>
        <v>0</v>
      </c>
      <c r="G221" s="35">
        <f>'DEPENSES PROGRAMME II'!K220</f>
        <v>0</v>
      </c>
      <c r="H221" s="35">
        <f>'DEPENSES PROGRAMME III'!K220</f>
        <v>0</v>
      </c>
      <c r="I221" s="35"/>
      <c r="J221" s="35">
        <f>'DEPENSES PROGRAMME I'!L220</f>
        <v>0</v>
      </c>
      <c r="K221" s="35">
        <f>'DEPENSES PROGRAMME II'!L220</f>
        <v>0</v>
      </c>
      <c r="L221" s="35">
        <f>'DEPENSES PROGRAMME III'!L220</f>
        <v>0</v>
      </c>
      <c r="M221" s="35"/>
      <c r="N221" s="35">
        <f>'DEPENSES PROGRAMME I'!M220</f>
        <v>0</v>
      </c>
      <c r="O221" s="35">
        <f>'DEPENSES PROGRAMME II'!M220</f>
        <v>0</v>
      </c>
      <c r="P221" s="35">
        <f>'DEPENSES PROGRAMME III'!M220</f>
        <v>0</v>
      </c>
      <c r="Q221" s="35"/>
    </row>
    <row r="222" spans="2:17" s="10" customFormat="1" x14ac:dyDescent="0.3">
      <c r="B222" s="27"/>
      <c r="C222" s="17">
        <v>208</v>
      </c>
      <c r="D222" s="17"/>
      <c r="E222" s="17" t="s">
        <v>338</v>
      </c>
      <c r="F222" s="43">
        <f>SUM(F223)</f>
        <v>0</v>
      </c>
      <c r="G222" s="43">
        <f t="shared" ref="G222:H222" si="295">SUM(G223)</f>
        <v>0</v>
      </c>
      <c r="H222" s="43">
        <f t="shared" si="295"/>
        <v>0</v>
      </c>
      <c r="I222" s="43"/>
      <c r="J222" s="43">
        <f>SUM(J223)</f>
        <v>0</v>
      </c>
      <c r="K222" s="43">
        <f t="shared" ref="K222" si="296">SUM(K223)</f>
        <v>0</v>
      </c>
      <c r="L222" s="43">
        <f t="shared" ref="L222" si="297">SUM(L223)</f>
        <v>0</v>
      </c>
      <c r="M222" s="43"/>
      <c r="N222" s="43">
        <f>SUM(N223)</f>
        <v>0</v>
      </c>
      <c r="O222" s="43">
        <f t="shared" ref="O222" si="298">SUM(O223)</f>
        <v>0</v>
      </c>
      <c r="P222" s="43">
        <f t="shared" ref="P222" si="299">SUM(P223)</f>
        <v>0</v>
      </c>
      <c r="Q222" s="43"/>
    </row>
    <row r="223" spans="2:17" x14ac:dyDescent="0.3">
      <c r="B223" s="27"/>
      <c r="C223" s="17"/>
      <c r="D223" s="3">
        <v>2080</v>
      </c>
      <c r="E223" s="3" t="s">
        <v>338</v>
      </c>
      <c r="F223" s="35">
        <f>'DEPENSES PROGRAMME I'!K222</f>
        <v>0</v>
      </c>
      <c r="G223" s="35">
        <f>'DEPENSES PROGRAMME II'!K222</f>
        <v>0</v>
      </c>
      <c r="H223" s="35">
        <f>'DEPENSES PROGRAMME III'!K222</f>
        <v>0</v>
      </c>
      <c r="I223" s="35"/>
      <c r="J223" s="35">
        <f>'DEPENSES PROGRAMME I'!L222</f>
        <v>0</v>
      </c>
      <c r="K223" s="35">
        <f>'DEPENSES PROGRAMME II'!L222</f>
        <v>0</v>
      </c>
      <c r="L223" s="35">
        <f>'DEPENSES PROGRAMME III'!L222</f>
        <v>0</v>
      </c>
      <c r="M223" s="35"/>
      <c r="N223" s="35">
        <f>'DEPENSES PROGRAMME I'!M222</f>
        <v>0</v>
      </c>
      <c r="O223" s="35">
        <f>'DEPENSES PROGRAMME II'!M222</f>
        <v>0</v>
      </c>
      <c r="P223" s="35">
        <f>'DEPENSES PROGRAMME III'!M222</f>
        <v>0</v>
      </c>
      <c r="Q223" s="35"/>
    </row>
    <row r="224" spans="2:17" s="10" customFormat="1" ht="30" customHeight="1" x14ac:dyDescent="0.3">
      <c r="B224" s="27">
        <v>21</v>
      </c>
      <c r="C224" s="17"/>
      <c r="D224" s="17"/>
      <c r="E224" s="17" t="s">
        <v>168</v>
      </c>
      <c r="F224" s="43">
        <f>SUM(F225,F234,F241,F248,F255,F264,F273,F281)</f>
        <v>0</v>
      </c>
      <c r="G224" s="43">
        <f t="shared" ref="G224:H224" si="300">SUM(G225,G234,G241,G248,G255,G264,G273,G281)</f>
        <v>0</v>
      </c>
      <c r="H224" s="43">
        <f t="shared" si="300"/>
        <v>0</v>
      </c>
      <c r="I224" s="43">
        <f>SUM(F224,G224,H224)</f>
        <v>0</v>
      </c>
      <c r="J224" s="43">
        <f>SUM(J225,J234,J241,J248,J255,J264,J273,J281)</f>
        <v>0</v>
      </c>
      <c r="K224" s="43">
        <f t="shared" ref="K224" si="301">SUM(K225,K234,K241,K248,K255,K264,K273,K281)</f>
        <v>0</v>
      </c>
      <c r="L224" s="43">
        <f t="shared" ref="L224" si="302">SUM(L225,L234,L241,L248,L255,L264,L273,L281)</f>
        <v>0</v>
      </c>
      <c r="M224" s="43">
        <f>SUM(J224,K224,L224)</f>
        <v>0</v>
      </c>
      <c r="N224" s="43">
        <f>SUM(N225,N234,N241,N248,N255,N264,N273,N281)</f>
        <v>0</v>
      </c>
      <c r="O224" s="43">
        <f t="shared" ref="O224" si="303">SUM(O225,O234,O241,O248,O255,O264,O273,O281)</f>
        <v>0</v>
      </c>
      <c r="P224" s="43">
        <f t="shared" ref="P224" si="304">SUM(P225,P234,P241,P248,P255,P264,P273,P281)</f>
        <v>0</v>
      </c>
      <c r="Q224" s="43">
        <f>SUM(N224,O224,P224)</f>
        <v>0</v>
      </c>
    </row>
    <row r="225" spans="2:17" s="10" customFormat="1" x14ac:dyDescent="0.3">
      <c r="B225" s="27"/>
      <c r="C225" s="17">
        <v>211</v>
      </c>
      <c r="D225" s="17"/>
      <c r="E225" s="17" t="s">
        <v>20</v>
      </c>
      <c r="F225" s="53">
        <f>SUM(F226:F233)</f>
        <v>0</v>
      </c>
      <c r="G225" s="53">
        <f t="shared" ref="G225:H225" si="305">SUM(G226:G233)</f>
        <v>0</v>
      </c>
      <c r="H225" s="53">
        <f t="shared" si="305"/>
        <v>0</v>
      </c>
      <c r="I225" s="53"/>
      <c r="J225" s="53">
        <f>SUM(J226:J233)</f>
        <v>0</v>
      </c>
      <c r="K225" s="53">
        <f t="shared" ref="K225" si="306">SUM(K226:K233)</f>
        <v>0</v>
      </c>
      <c r="L225" s="53">
        <f t="shared" ref="L225" si="307">SUM(L226:L233)</f>
        <v>0</v>
      </c>
      <c r="M225" s="53"/>
      <c r="N225" s="53">
        <f>SUM(N226:N233)</f>
        <v>0</v>
      </c>
      <c r="O225" s="53">
        <f t="shared" ref="O225" si="308">SUM(O226:O233)</f>
        <v>0</v>
      </c>
      <c r="P225" s="53">
        <f t="shared" ref="P225" si="309">SUM(P226:P233)</f>
        <v>0</v>
      </c>
      <c r="Q225" s="53"/>
    </row>
    <row r="226" spans="2:17" x14ac:dyDescent="0.3">
      <c r="B226" s="27"/>
      <c r="C226" s="17"/>
      <c r="D226" s="3">
        <v>2111</v>
      </c>
      <c r="E226" s="3" t="s">
        <v>339</v>
      </c>
      <c r="F226" s="35">
        <f>'DEPENSES PROGRAMME I'!K225</f>
        <v>0</v>
      </c>
      <c r="G226" s="35">
        <f>'DEPENSES PROGRAMME II'!K225</f>
        <v>0</v>
      </c>
      <c r="H226" s="35">
        <f>'DEPENSES PROGRAMME III'!K225</f>
        <v>0</v>
      </c>
      <c r="I226" s="35"/>
      <c r="J226" s="35">
        <f>'DEPENSES PROGRAMME I'!L225</f>
        <v>0</v>
      </c>
      <c r="K226" s="35">
        <f>'DEPENSES PROGRAMME II'!L225</f>
        <v>0</v>
      </c>
      <c r="L226" s="35">
        <f>'DEPENSES PROGRAMME III'!L225</f>
        <v>0</v>
      </c>
      <c r="M226" s="35"/>
      <c r="N226" s="35">
        <f>'DEPENSES PROGRAMME I'!M225</f>
        <v>0</v>
      </c>
      <c r="O226" s="35">
        <f>'DEPENSES PROGRAMME II'!M225</f>
        <v>0</v>
      </c>
      <c r="P226" s="35">
        <f>'DEPENSES PROGRAMME III'!M225</f>
        <v>0</v>
      </c>
      <c r="Q226" s="35"/>
    </row>
    <row r="227" spans="2:17" x14ac:dyDescent="0.3">
      <c r="B227" s="27"/>
      <c r="C227" s="17"/>
      <c r="D227" s="3">
        <v>2112</v>
      </c>
      <c r="E227" s="3" t="s">
        <v>340</v>
      </c>
      <c r="F227" s="35">
        <f>'DEPENSES PROGRAMME I'!K226</f>
        <v>0</v>
      </c>
      <c r="G227" s="35">
        <f>'DEPENSES PROGRAMME II'!K226</f>
        <v>0</v>
      </c>
      <c r="H227" s="35">
        <f>'DEPENSES PROGRAMME III'!K226</f>
        <v>0</v>
      </c>
      <c r="I227" s="35"/>
      <c r="J227" s="35">
        <f>'DEPENSES PROGRAMME I'!L226</f>
        <v>0</v>
      </c>
      <c r="K227" s="35">
        <f>'DEPENSES PROGRAMME II'!L226</f>
        <v>0</v>
      </c>
      <c r="L227" s="35">
        <f>'DEPENSES PROGRAMME III'!L226</f>
        <v>0</v>
      </c>
      <c r="M227" s="35"/>
      <c r="N227" s="35">
        <f>'DEPENSES PROGRAMME I'!M226</f>
        <v>0</v>
      </c>
      <c r="O227" s="35">
        <f>'DEPENSES PROGRAMME II'!M226</f>
        <v>0</v>
      </c>
      <c r="P227" s="35">
        <f>'DEPENSES PROGRAMME III'!M226</f>
        <v>0</v>
      </c>
      <c r="Q227" s="35"/>
    </row>
    <row r="228" spans="2:17" x14ac:dyDescent="0.3">
      <c r="B228" s="27"/>
      <c r="C228" s="17"/>
      <c r="D228" s="3">
        <v>2113</v>
      </c>
      <c r="E228" s="3" t="s">
        <v>341</v>
      </c>
      <c r="F228" s="35">
        <f>'DEPENSES PROGRAMME I'!K227</f>
        <v>0</v>
      </c>
      <c r="G228" s="35">
        <f>'DEPENSES PROGRAMME II'!K227</f>
        <v>0</v>
      </c>
      <c r="H228" s="35">
        <f>'DEPENSES PROGRAMME III'!K227</f>
        <v>0</v>
      </c>
      <c r="I228" s="35"/>
      <c r="J228" s="35">
        <f>'DEPENSES PROGRAMME I'!L227</f>
        <v>0</v>
      </c>
      <c r="K228" s="35">
        <f>'DEPENSES PROGRAMME II'!L227</f>
        <v>0</v>
      </c>
      <c r="L228" s="35">
        <f>'DEPENSES PROGRAMME III'!L227</f>
        <v>0</v>
      </c>
      <c r="M228" s="35"/>
      <c r="N228" s="35">
        <f>'DEPENSES PROGRAMME I'!M227</f>
        <v>0</v>
      </c>
      <c r="O228" s="35">
        <f>'DEPENSES PROGRAMME II'!M227</f>
        <v>0</v>
      </c>
      <c r="P228" s="35">
        <f>'DEPENSES PROGRAMME III'!M227</f>
        <v>0</v>
      </c>
      <c r="Q228" s="35"/>
    </row>
    <row r="229" spans="2:17" x14ac:dyDescent="0.3">
      <c r="B229" s="27"/>
      <c r="C229" s="17"/>
      <c r="D229" s="3">
        <v>2114</v>
      </c>
      <c r="E229" s="3" t="s">
        <v>342</v>
      </c>
      <c r="F229" s="35">
        <f>'DEPENSES PROGRAMME I'!K228</f>
        <v>0</v>
      </c>
      <c r="G229" s="35">
        <f>'DEPENSES PROGRAMME II'!K228</f>
        <v>0</v>
      </c>
      <c r="H229" s="35">
        <f>'DEPENSES PROGRAMME III'!K228</f>
        <v>0</v>
      </c>
      <c r="I229" s="35"/>
      <c r="J229" s="35">
        <f>'DEPENSES PROGRAMME I'!L228</f>
        <v>0</v>
      </c>
      <c r="K229" s="35">
        <f>'DEPENSES PROGRAMME II'!L228</f>
        <v>0</v>
      </c>
      <c r="L229" s="35">
        <f>'DEPENSES PROGRAMME III'!L228</f>
        <v>0</v>
      </c>
      <c r="M229" s="35"/>
      <c r="N229" s="35">
        <f>'DEPENSES PROGRAMME I'!M228</f>
        <v>0</v>
      </c>
      <c r="O229" s="35">
        <f>'DEPENSES PROGRAMME II'!M228</f>
        <v>0</v>
      </c>
      <c r="P229" s="35">
        <f>'DEPENSES PROGRAMME III'!M228</f>
        <v>0</v>
      </c>
      <c r="Q229" s="35"/>
    </row>
    <row r="230" spans="2:17" x14ac:dyDescent="0.3">
      <c r="B230" s="27"/>
      <c r="C230" s="17"/>
      <c r="D230" s="3">
        <v>2115</v>
      </c>
      <c r="E230" s="3" t="s">
        <v>343</v>
      </c>
      <c r="F230" s="35">
        <f>'DEPENSES PROGRAMME I'!K229</f>
        <v>0</v>
      </c>
      <c r="G230" s="35">
        <f>'DEPENSES PROGRAMME II'!K229</f>
        <v>0</v>
      </c>
      <c r="H230" s="35">
        <f>'DEPENSES PROGRAMME III'!K229</f>
        <v>0</v>
      </c>
      <c r="I230" s="35"/>
      <c r="J230" s="35">
        <f>'DEPENSES PROGRAMME I'!L229</f>
        <v>0</v>
      </c>
      <c r="K230" s="35">
        <f>'DEPENSES PROGRAMME II'!L229</f>
        <v>0</v>
      </c>
      <c r="L230" s="35">
        <f>'DEPENSES PROGRAMME III'!L229</f>
        <v>0</v>
      </c>
      <c r="M230" s="35"/>
      <c r="N230" s="35">
        <f>'DEPENSES PROGRAMME I'!M229</f>
        <v>0</v>
      </c>
      <c r="O230" s="35">
        <f>'DEPENSES PROGRAMME II'!M229</f>
        <v>0</v>
      </c>
      <c r="P230" s="35">
        <f>'DEPENSES PROGRAMME III'!M229</f>
        <v>0</v>
      </c>
      <c r="Q230" s="35"/>
    </row>
    <row r="231" spans="2:17" x14ac:dyDescent="0.3">
      <c r="B231" s="27"/>
      <c r="C231" s="17"/>
      <c r="D231" s="3">
        <v>2116</v>
      </c>
      <c r="E231" s="3" t="s">
        <v>344</v>
      </c>
      <c r="F231" s="35">
        <f>'DEPENSES PROGRAMME I'!K230</f>
        <v>0</v>
      </c>
      <c r="G231" s="35">
        <f>'DEPENSES PROGRAMME II'!K230</f>
        <v>0</v>
      </c>
      <c r="H231" s="35">
        <f>'DEPENSES PROGRAMME III'!K230</f>
        <v>0</v>
      </c>
      <c r="I231" s="35"/>
      <c r="J231" s="35">
        <f>'DEPENSES PROGRAMME I'!L230</f>
        <v>0</v>
      </c>
      <c r="K231" s="35">
        <f>'DEPENSES PROGRAMME II'!L230</f>
        <v>0</v>
      </c>
      <c r="L231" s="35">
        <f>'DEPENSES PROGRAMME III'!L230</f>
        <v>0</v>
      </c>
      <c r="M231" s="35"/>
      <c r="N231" s="35">
        <f>'DEPENSES PROGRAMME I'!M230</f>
        <v>0</v>
      </c>
      <c r="O231" s="35">
        <f>'DEPENSES PROGRAMME II'!M230</f>
        <v>0</v>
      </c>
      <c r="P231" s="35">
        <f>'DEPENSES PROGRAMME III'!M230</f>
        <v>0</v>
      </c>
      <c r="Q231" s="35"/>
    </row>
    <row r="232" spans="2:17" x14ac:dyDescent="0.3">
      <c r="B232" s="27"/>
      <c r="C232" s="17"/>
      <c r="D232" s="3">
        <v>2117</v>
      </c>
      <c r="E232" s="3" t="s">
        <v>345</v>
      </c>
      <c r="F232" s="35">
        <f>'DEPENSES PROGRAMME I'!K231</f>
        <v>0</v>
      </c>
      <c r="G232" s="35">
        <f>'DEPENSES PROGRAMME II'!K231</f>
        <v>0</v>
      </c>
      <c r="H232" s="35">
        <f>'DEPENSES PROGRAMME III'!K231</f>
        <v>0</v>
      </c>
      <c r="I232" s="35"/>
      <c r="J232" s="35">
        <f>'DEPENSES PROGRAMME I'!L231</f>
        <v>0</v>
      </c>
      <c r="K232" s="35">
        <f>'DEPENSES PROGRAMME II'!L231</f>
        <v>0</v>
      </c>
      <c r="L232" s="35">
        <f>'DEPENSES PROGRAMME III'!L231</f>
        <v>0</v>
      </c>
      <c r="M232" s="35"/>
      <c r="N232" s="35">
        <f>'DEPENSES PROGRAMME I'!M231</f>
        <v>0</v>
      </c>
      <c r="O232" s="35">
        <f>'DEPENSES PROGRAMME II'!M231</f>
        <v>0</v>
      </c>
      <c r="P232" s="35">
        <f>'DEPENSES PROGRAMME III'!M231</f>
        <v>0</v>
      </c>
      <c r="Q232" s="35"/>
    </row>
    <row r="233" spans="2:17" x14ac:dyDescent="0.3">
      <c r="B233" s="27"/>
      <c r="C233" s="17"/>
      <c r="D233" s="3">
        <v>2118</v>
      </c>
      <c r="E233" s="3" t="s">
        <v>95</v>
      </c>
      <c r="F233" s="35">
        <f>'DEPENSES PROGRAMME I'!K232</f>
        <v>0</v>
      </c>
      <c r="G233" s="35">
        <f>'DEPENSES PROGRAMME II'!K232</f>
        <v>0</v>
      </c>
      <c r="H233" s="35">
        <f>'DEPENSES PROGRAMME III'!K232</f>
        <v>0</v>
      </c>
      <c r="I233" s="35"/>
      <c r="J233" s="35">
        <f>'DEPENSES PROGRAMME I'!L232</f>
        <v>0</v>
      </c>
      <c r="K233" s="35">
        <f>'DEPENSES PROGRAMME II'!L232</f>
        <v>0</v>
      </c>
      <c r="L233" s="35">
        <f>'DEPENSES PROGRAMME III'!L232</f>
        <v>0</v>
      </c>
      <c r="M233" s="35"/>
      <c r="N233" s="35">
        <f>'DEPENSES PROGRAMME I'!M232</f>
        <v>0</v>
      </c>
      <c r="O233" s="35">
        <f>'DEPENSES PROGRAMME II'!M232</f>
        <v>0</v>
      </c>
      <c r="P233" s="35">
        <f>'DEPENSES PROGRAMME III'!M232</f>
        <v>0</v>
      </c>
      <c r="Q233" s="35"/>
    </row>
    <row r="234" spans="2:17" s="10" customFormat="1" x14ac:dyDescent="0.3">
      <c r="B234" s="27"/>
      <c r="C234" s="17">
        <v>212</v>
      </c>
      <c r="D234" s="17"/>
      <c r="E234" s="17" t="s">
        <v>346</v>
      </c>
      <c r="F234" s="53">
        <f>SUM(F235:F240)</f>
        <v>0</v>
      </c>
      <c r="G234" s="53">
        <f t="shared" ref="G234:H234" si="310">SUM(G235:G240)</f>
        <v>0</v>
      </c>
      <c r="H234" s="53">
        <f t="shared" si="310"/>
        <v>0</v>
      </c>
      <c r="I234" s="53"/>
      <c r="J234" s="53">
        <f>SUM(J235:J240)</f>
        <v>0</v>
      </c>
      <c r="K234" s="53">
        <f t="shared" ref="K234" si="311">SUM(K235:K240)</f>
        <v>0</v>
      </c>
      <c r="L234" s="53">
        <f t="shared" ref="L234" si="312">SUM(L235:L240)</f>
        <v>0</v>
      </c>
      <c r="M234" s="53"/>
      <c r="N234" s="53">
        <f>SUM(N235:N240)</f>
        <v>0</v>
      </c>
      <c r="O234" s="53">
        <f t="shared" ref="O234" si="313">SUM(O235:O240)</f>
        <v>0</v>
      </c>
      <c r="P234" s="53">
        <f t="shared" ref="P234" si="314">SUM(P235:P240)</f>
        <v>0</v>
      </c>
      <c r="Q234" s="53"/>
    </row>
    <row r="235" spans="2:17" x14ac:dyDescent="0.3">
      <c r="B235" s="27"/>
      <c r="C235" s="17"/>
      <c r="D235" s="3">
        <v>2121</v>
      </c>
      <c r="E235" s="3" t="s">
        <v>347</v>
      </c>
      <c r="F235" s="35">
        <f>'DEPENSES PROGRAMME I'!K234</f>
        <v>0</v>
      </c>
      <c r="G235" s="35">
        <f>'DEPENSES PROGRAMME II'!K234</f>
        <v>0</v>
      </c>
      <c r="H235" s="35">
        <f>'DEPENSES PROGRAMME III'!K234</f>
        <v>0</v>
      </c>
      <c r="I235" s="35"/>
      <c r="J235" s="35">
        <f>'DEPENSES PROGRAMME I'!L234</f>
        <v>0</v>
      </c>
      <c r="K235" s="35">
        <f>'DEPENSES PROGRAMME II'!L234</f>
        <v>0</v>
      </c>
      <c r="L235" s="35">
        <f>'DEPENSES PROGRAMME III'!L234</f>
        <v>0</v>
      </c>
      <c r="M235" s="35"/>
      <c r="N235" s="35">
        <f>'DEPENSES PROGRAMME I'!M234</f>
        <v>0</v>
      </c>
      <c r="O235" s="35">
        <f>'DEPENSES PROGRAMME II'!M234</f>
        <v>0</v>
      </c>
      <c r="P235" s="35">
        <f>'DEPENSES PROGRAMME III'!M234</f>
        <v>0</v>
      </c>
      <c r="Q235" s="35"/>
    </row>
    <row r="236" spans="2:17" x14ac:dyDescent="0.3">
      <c r="B236" s="27"/>
      <c r="C236" s="17"/>
      <c r="D236" s="3">
        <v>2122</v>
      </c>
      <c r="E236" s="3" t="s">
        <v>348</v>
      </c>
      <c r="F236" s="35">
        <f>'DEPENSES PROGRAMME I'!K235</f>
        <v>0</v>
      </c>
      <c r="G236" s="35">
        <f>'DEPENSES PROGRAMME II'!K235</f>
        <v>0</v>
      </c>
      <c r="H236" s="35">
        <f>'DEPENSES PROGRAMME III'!K235</f>
        <v>0</v>
      </c>
      <c r="I236" s="35"/>
      <c r="J236" s="35">
        <f>'DEPENSES PROGRAMME I'!L235</f>
        <v>0</v>
      </c>
      <c r="K236" s="35">
        <f>'DEPENSES PROGRAMME II'!L235</f>
        <v>0</v>
      </c>
      <c r="L236" s="35">
        <f>'DEPENSES PROGRAMME III'!L235</f>
        <v>0</v>
      </c>
      <c r="M236" s="35"/>
      <c r="N236" s="35">
        <f>'DEPENSES PROGRAMME I'!M235</f>
        <v>0</v>
      </c>
      <c r="O236" s="35">
        <f>'DEPENSES PROGRAMME II'!M235</f>
        <v>0</v>
      </c>
      <c r="P236" s="35">
        <f>'DEPENSES PROGRAMME III'!M235</f>
        <v>0</v>
      </c>
      <c r="Q236" s="35"/>
    </row>
    <row r="237" spans="2:17" x14ac:dyDescent="0.3">
      <c r="B237" s="27"/>
      <c r="C237" s="17"/>
      <c r="D237" s="3">
        <v>2123</v>
      </c>
      <c r="E237" s="3" t="s">
        <v>349</v>
      </c>
      <c r="F237" s="35">
        <f>'DEPENSES PROGRAMME I'!K236</f>
        <v>0</v>
      </c>
      <c r="G237" s="35">
        <f>'DEPENSES PROGRAMME II'!K236</f>
        <v>0</v>
      </c>
      <c r="H237" s="35">
        <f>'DEPENSES PROGRAMME III'!K236</f>
        <v>0</v>
      </c>
      <c r="I237" s="35"/>
      <c r="J237" s="35">
        <f>'DEPENSES PROGRAMME I'!L236</f>
        <v>0</v>
      </c>
      <c r="K237" s="35">
        <f>'DEPENSES PROGRAMME II'!L236</f>
        <v>0</v>
      </c>
      <c r="L237" s="35">
        <f>'DEPENSES PROGRAMME III'!L236</f>
        <v>0</v>
      </c>
      <c r="M237" s="35"/>
      <c r="N237" s="35">
        <f>'DEPENSES PROGRAMME I'!M236</f>
        <v>0</v>
      </c>
      <c r="O237" s="35">
        <f>'DEPENSES PROGRAMME II'!M236</f>
        <v>0</v>
      </c>
      <c r="P237" s="35">
        <f>'DEPENSES PROGRAMME III'!M236</f>
        <v>0</v>
      </c>
      <c r="Q237" s="35"/>
    </row>
    <row r="238" spans="2:17" x14ac:dyDescent="0.3">
      <c r="B238" s="27"/>
      <c r="C238" s="17"/>
      <c r="D238" s="3">
        <v>2124</v>
      </c>
      <c r="E238" s="3" t="s">
        <v>350</v>
      </c>
      <c r="F238" s="35">
        <f>'DEPENSES PROGRAMME I'!K237</f>
        <v>0</v>
      </c>
      <c r="G238" s="35">
        <f>'DEPENSES PROGRAMME II'!K237</f>
        <v>0</v>
      </c>
      <c r="H238" s="35">
        <f>'DEPENSES PROGRAMME III'!K237</f>
        <v>0</v>
      </c>
      <c r="I238" s="35"/>
      <c r="J238" s="35">
        <f>'DEPENSES PROGRAMME I'!L237</f>
        <v>0</v>
      </c>
      <c r="K238" s="35">
        <f>'DEPENSES PROGRAMME II'!L237</f>
        <v>0</v>
      </c>
      <c r="L238" s="35">
        <f>'DEPENSES PROGRAMME III'!L237</f>
        <v>0</v>
      </c>
      <c r="M238" s="35"/>
      <c r="N238" s="35">
        <f>'DEPENSES PROGRAMME I'!M237</f>
        <v>0</v>
      </c>
      <c r="O238" s="35">
        <f>'DEPENSES PROGRAMME II'!M237</f>
        <v>0</v>
      </c>
      <c r="P238" s="35">
        <f>'DEPENSES PROGRAMME III'!M237</f>
        <v>0</v>
      </c>
      <c r="Q238" s="35"/>
    </row>
    <row r="239" spans="2:17" x14ac:dyDescent="0.3">
      <c r="B239" s="27"/>
      <c r="C239" s="17"/>
      <c r="D239" s="3">
        <v>2125</v>
      </c>
      <c r="E239" s="3" t="s">
        <v>351</v>
      </c>
      <c r="F239" s="35">
        <f>'DEPENSES PROGRAMME I'!K238</f>
        <v>0</v>
      </c>
      <c r="G239" s="35">
        <f>'DEPENSES PROGRAMME II'!K238</f>
        <v>0</v>
      </c>
      <c r="H239" s="35">
        <f>'DEPENSES PROGRAMME III'!K238</f>
        <v>0</v>
      </c>
      <c r="I239" s="35"/>
      <c r="J239" s="35">
        <f>'DEPENSES PROGRAMME I'!L238</f>
        <v>0</v>
      </c>
      <c r="K239" s="35">
        <f>'DEPENSES PROGRAMME II'!L238</f>
        <v>0</v>
      </c>
      <c r="L239" s="35">
        <f>'DEPENSES PROGRAMME III'!L238</f>
        <v>0</v>
      </c>
      <c r="M239" s="35"/>
      <c r="N239" s="35">
        <f>'DEPENSES PROGRAMME I'!M238</f>
        <v>0</v>
      </c>
      <c r="O239" s="35">
        <f>'DEPENSES PROGRAMME II'!M238</f>
        <v>0</v>
      </c>
      <c r="P239" s="35">
        <f>'DEPENSES PROGRAMME III'!M238</f>
        <v>0</v>
      </c>
      <c r="Q239" s="35"/>
    </row>
    <row r="240" spans="2:17" x14ac:dyDescent="0.3">
      <c r="B240" s="27"/>
      <c r="C240" s="17"/>
      <c r="D240" s="3">
        <v>2128</v>
      </c>
      <c r="E240" s="3" t="s">
        <v>352</v>
      </c>
      <c r="F240" s="35">
        <f>'DEPENSES PROGRAMME I'!K239</f>
        <v>0</v>
      </c>
      <c r="G240" s="35">
        <f>'DEPENSES PROGRAMME II'!K239</f>
        <v>0</v>
      </c>
      <c r="H240" s="35">
        <f>'DEPENSES PROGRAMME III'!K239</f>
        <v>0</v>
      </c>
      <c r="I240" s="35"/>
      <c r="J240" s="35">
        <f>'DEPENSES PROGRAMME I'!L239</f>
        <v>0</v>
      </c>
      <c r="K240" s="35">
        <f>'DEPENSES PROGRAMME II'!L239</f>
        <v>0</v>
      </c>
      <c r="L240" s="35">
        <f>'DEPENSES PROGRAMME III'!L239</f>
        <v>0</v>
      </c>
      <c r="M240" s="35"/>
      <c r="N240" s="35">
        <f>'DEPENSES PROGRAMME I'!M239</f>
        <v>0</v>
      </c>
      <c r="O240" s="35">
        <f>'DEPENSES PROGRAMME II'!M239</f>
        <v>0</v>
      </c>
      <c r="P240" s="35">
        <f>'DEPENSES PROGRAMME III'!M239</f>
        <v>0</v>
      </c>
      <c r="Q240" s="35"/>
    </row>
    <row r="241" spans="2:17" s="10" customFormat="1" x14ac:dyDescent="0.3">
      <c r="B241" s="27"/>
      <c r="C241" s="17">
        <v>213</v>
      </c>
      <c r="D241" s="17"/>
      <c r="E241" s="17" t="s">
        <v>353</v>
      </c>
      <c r="F241" s="53">
        <f>SUM(F242:F247)</f>
        <v>0</v>
      </c>
      <c r="G241" s="53">
        <f t="shared" ref="G241:H241" si="315">SUM(G242:G247)</f>
        <v>0</v>
      </c>
      <c r="H241" s="53">
        <f t="shared" si="315"/>
        <v>0</v>
      </c>
      <c r="I241" s="53"/>
      <c r="J241" s="53">
        <f>SUM(J242:J247)</f>
        <v>0</v>
      </c>
      <c r="K241" s="53">
        <f t="shared" ref="K241" si="316">SUM(K242:K247)</f>
        <v>0</v>
      </c>
      <c r="L241" s="53">
        <f t="shared" ref="L241" si="317">SUM(L242:L247)</f>
        <v>0</v>
      </c>
      <c r="M241" s="53"/>
      <c r="N241" s="53">
        <f>SUM(N242:N247)</f>
        <v>0</v>
      </c>
      <c r="O241" s="53">
        <f t="shared" ref="O241" si="318">SUM(O242:O247)</f>
        <v>0</v>
      </c>
      <c r="P241" s="53">
        <f t="shared" ref="P241" si="319">SUM(P242:P247)</f>
        <v>0</v>
      </c>
      <c r="Q241" s="53"/>
    </row>
    <row r="242" spans="2:17" x14ac:dyDescent="0.3">
      <c r="B242" s="27"/>
      <c r="C242" s="17"/>
      <c r="D242" s="3">
        <v>2131</v>
      </c>
      <c r="E242" s="3" t="s">
        <v>354</v>
      </c>
      <c r="F242" s="35">
        <f>'DEPENSES PROGRAMME I'!K241</f>
        <v>0</v>
      </c>
      <c r="G242" s="35">
        <f>'DEPENSES PROGRAMME II'!K241</f>
        <v>0</v>
      </c>
      <c r="H242" s="35">
        <f>'DEPENSES PROGRAMME III'!K241</f>
        <v>0</v>
      </c>
      <c r="I242" s="35"/>
      <c r="J242" s="35">
        <f>'DEPENSES PROGRAMME I'!L241</f>
        <v>0</v>
      </c>
      <c r="K242" s="35">
        <f>'DEPENSES PROGRAMME II'!L241</f>
        <v>0</v>
      </c>
      <c r="L242" s="35">
        <f>'DEPENSES PROGRAMME III'!L241</f>
        <v>0</v>
      </c>
      <c r="M242" s="35"/>
      <c r="N242" s="35">
        <f>'DEPENSES PROGRAMME I'!M241</f>
        <v>0</v>
      </c>
      <c r="O242" s="35">
        <f>'DEPENSES PROGRAMME II'!M241</f>
        <v>0</v>
      </c>
      <c r="P242" s="35">
        <f>'DEPENSES PROGRAMME III'!M241</f>
        <v>0</v>
      </c>
      <c r="Q242" s="35"/>
    </row>
    <row r="243" spans="2:17" x14ac:dyDescent="0.3">
      <c r="B243" s="27"/>
      <c r="C243" s="17"/>
      <c r="D243" s="3">
        <v>2132</v>
      </c>
      <c r="E243" s="3" t="s">
        <v>355</v>
      </c>
      <c r="F243" s="35">
        <f>'DEPENSES PROGRAMME I'!K242</f>
        <v>0</v>
      </c>
      <c r="G243" s="35">
        <f>'DEPENSES PROGRAMME II'!K242</f>
        <v>0</v>
      </c>
      <c r="H243" s="35">
        <f>'DEPENSES PROGRAMME III'!K242</f>
        <v>0</v>
      </c>
      <c r="I243" s="35"/>
      <c r="J243" s="35">
        <f>'DEPENSES PROGRAMME I'!L242</f>
        <v>0</v>
      </c>
      <c r="K243" s="35">
        <f>'DEPENSES PROGRAMME II'!L242</f>
        <v>0</v>
      </c>
      <c r="L243" s="35">
        <f>'DEPENSES PROGRAMME III'!L242</f>
        <v>0</v>
      </c>
      <c r="M243" s="35"/>
      <c r="N243" s="35">
        <f>'DEPENSES PROGRAMME I'!M242</f>
        <v>0</v>
      </c>
      <c r="O243" s="35">
        <f>'DEPENSES PROGRAMME II'!M242</f>
        <v>0</v>
      </c>
      <c r="P243" s="35">
        <f>'DEPENSES PROGRAMME III'!M242</f>
        <v>0</v>
      </c>
      <c r="Q243" s="35"/>
    </row>
    <row r="244" spans="2:17" x14ac:dyDescent="0.3">
      <c r="B244" s="27"/>
      <c r="C244" s="17"/>
      <c r="D244" s="3">
        <v>2133</v>
      </c>
      <c r="E244" s="3" t="s">
        <v>356</v>
      </c>
      <c r="F244" s="35">
        <f>'DEPENSES PROGRAMME I'!K243</f>
        <v>0</v>
      </c>
      <c r="G244" s="35">
        <f>'DEPENSES PROGRAMME II'!K243</f>
        <v>0</v>
      </c>
      <c r="H244" s="35">
        <f>'DEPENSES PROGRAMME III'!K243</f>
        <v>0</v>
      </c>
      <c r="I244" s="35"/>
      <c r="J244" s="35">
        <f>'DEPENSES PROGRAMME I'!L243</f>
        <v>0</v>
      </c>
      <c r="K244" s="35">
        <f>'DEPENSES PROGRAMME II'!L243</f>
        <v>0</v>
      </c>
      <c r="L244" s="35">
        <f>'DEPENSES PROGRAMME III'!L243</f>
        <v>0</v>
      </c>
      <c r="M244" s="35"/>
      <c r="N244" s="35">
        <f>'DEPENSES PROGRAMME I'!M243</f>
        <v>0</v>
      </c>
      <c r="O244" s="35">
        <f>'DEPENSES PROGRAMME II'!M243</f>
        <v>0</v>
      </c>
      <c r="P244" s="35">
        <f>'DEPENSES PROGRAMME III'!M243</f>
        <v>0</v>
      </c>
      <c r="Q244" s="35"/>
    </row>
    <row r="245" spans="2:17" x14ac:dyDescent="0.3">
      <c r="B245" s="27"/>
      <c r="C245" s="17"/>
      <c r="D245" s="3">
        <v>2134</v>
      </c>
      <c r="E245" s="3" t="s">
        <v>357</v>
      </c>
      <c r="F245" s="35">
        <f>'DEPENSES PROGRAMME I'!K244</f>
        <v>0</v>
      </c>
      <c r="G245" s="35">
        <f>'DEPENSES PROGRAMME II'!K244</f>
        <v>0</v>
      </c>
      <c r="H245" s="35">
        <f>'DEPENSES PROGRAMME III'!K244</f>
        <v>0</v>
      </c>
      <c r="I245" s="35"/>
      <c r="J245" s="35">
        <f>'DEPENSES PROGRAMME I'!L244</f>
        <v>0</v>
      </c>
      <c r="K245" s="35">
        <f>'DEPENSES PROGRAMME II'!L244</f>
        <v>0</v>
      </c>
      <c r="L245" s="35">
        <f>'DEPENSES PROGRAMME III'!L244</f>
        <v>0</v>
      </c>
      <c r="M245" s="35"/>
      <c r="N245" s="35">
        <f>'DEPENSES PROGRAMME I'!M244</f>
        <v>0</v>
      </c>
      <c r="O245" s="35">
        <f>'DEPENSES PROGRAMME II'!M244</f>
        <v>0</v>
      </c>
      <c r="P245" s="35">
        <f>'DEPENSES PROGRAMME III'!M244</f>
        <v>0</v>
      </c>
      <c r="Q245" s="35"/>
    </row>
    <row r="246" spans="2:17" x14ac:dyDescent="0.3">
      <c r="B246" s="27"/>
      <c r="C246" s="17"/>
      <c r="D246" s="3">
        <v>2137</v>
      </c>
      <c r="E246" s="3" t="s">
        <v>358</v>
      </c>
      <c r="F246" s="35">
        <f>'DEPENSES PROGRAMME I'!K245</f>
        <v>0</v>
      </c>
      <c r="G246" s="35">
        <f>'DEPENSES PROGRAMME II'!K245</f>
        <v>0</v>
      </c>
      <c r="H246" s="35">
        <f>'DEPENSES PROGRAMME III'!K245</f>
        <v>0</v>
      </c>
      <c r="I246" s="35"/>
      <c r="J246" s="35">
        <f>'DEPENSES PROGRAMME I'!L245</f>
        <v>0</v>
      </c>
      <c r="K246" s="35">
        <f>'DEPENSES PROGRAMME II'!L245</f>
        <v>0</v>
      </c>
      <c r="L246" s="35">
        <f>'DEPENSES PROGRAMME III'!L245</f>
        <v>0</v>
      </c>
      <c r="M246" s="35"/>
      <c r="N246" s="35">
        <f>'DEPENSES PROGRAMME I'!M245</f>
        <v>0</v>
      </c>
      <c r="O246" s="35">
        <f>'DEPENSES PROGRAMME II'!M245</f>
        <v>0</v>
      </c>
      <c r="P246" s="35">
        <f>'DEPENSES PROGRAMME III'!M245</f>
        <v>0</v>
      </c>
      <c r="Q246" s="35"/>
    </row>
    <row r="247" spans="2:17" x14ac:dyDescent="0.3">
      <c r="B247" s="27"/>
      <c r="C247" s="17"/>
      <c r="D247" s="3">
        <v>2138</v>
      </c>
      <c r="E247" s="3" t="s">
        <v>359</v>
      </c>
      <c r="F247" s="35">
        <f>'DEPENSES PROGRAMME I'!K246</f>
        <v>0</v>
      </c>
      <c r="G247" s="35">
        <f>'DEPENSES PROGRAMME II'!K246</f>
        <v>0</v>
      </c>
      <c r="H247" s="35">
        <f>'DEPENSES PROGRAMME III'!K246</f>
        <v>0</v>
      </c>
      <c r="I247" s="35"/>
      <c r="J247" s="35">
        <f>'DEPENSES PROGRAMME I'!L246</f>
        <v>0</v>
      </c>
      <c r="K247" s="35">
        <f>'DEPENSES PROGRAMME II'!L246</f>
        <v>0</v>
      </c>
      <c r="L247" s="35">
        <f>'DEPENSES PROGRAMME III'!L246</f>
        <v>0</v>
      </c>
      <c r="M247" s="35"/>
      <c r="N247" s="35">
        <f>'DEPENSES PROGRAMME I'!M246</f>
        <v>0</v>
      </c>
      <c r="O247" s="35">
        <f>'DEPENSES PROGRAMME II'!M246</f>
        <v>0</v>
      </c>
      <c r="P247" s="35">
        <f>'DEPENSES PROGRAMME III'!M246</f>
        <v>0</v>
      </c>
      <c r="Q247" s="35"/>
    </row>
    <row r="248" spans="2:17" s="10" customFormat="1" x14ac:dyDescent="0.3">
      <c r="B248" s="27"/>
      <c r="C248" s="17">
        <v>214</v>
      </c>
      <c r="D248" s="17"/>
      <c r="E248" s="17" t="s">
        <v>360</v>
      </c>
      <c r="F248" s="53">
        <f>SUM(F249:F254)</f>
        <v>0</v>
      </c>
      <c r="G248" s="53">
        <f t="shared" ref="G248:H248" si="320">SUM(G249:G254)</f>
        <v>0</v>
      </c>
      <c r="H248" s="53">
        <f t="shared" si="320"/>
        <v>0</v>
      </c>
      <c r="I248" s="53"/>
      <c r="J248" s="53">
        <f>SUM(J249:J254)</f>
        <v>0</v>
      </c>
      <c r="K248" s="53">
        <f t="shared" ref="K248" si="321">SUM(K249:K254)</f>
        <v>0</v>
      </c>
      <c r="L248" s="53">
        <f t="shared" ref="L248" si="322">SUM(L249:L254)</f>
        <v>0</v>
      </c>
      <c r="M248" s="53"/>
      <c r="N248" s="53">
        <f>SUM(N249:N254)</f>
        <v>0</v>
      </c>
      <c r="O248" s="53">
        <f t="shared" ref="O248" si="323">SUM(O249:O254)</f>
        <v>0</v>
      </c>
      <c r="P248" s="53">
        <f t="shared" ref="P248" si="324">SUM(P249:P254)</f>
        <v>0</v>
      </c>
      <c r="Q248" s="53"/>
    </row>
    <row r="249" spans="2:17" x14ac:dyDescent="0.3">
      <c r="B249" s="27"/>
      <c r="C249" s="17"/>
      <c r="D249" s="3">
        <v>2141</v>
      </c>
      <c r="E249" s="3" t="s">
        <v>390</v>
      </c>
      <c r="F249" s="35">
        <f>'DEPENSES PROGRAMME I'!K248</f>
        <v>0</v>
      </c>
      <c r="G249" s="35">
        <f>'DEPENSES PROGRAMME II'!K248</f>
        <v>0</v>
      </c>
      <c r="H249" s="35">
        <f>'DEPENSES PROGRAMME III'!K248</f>
        <v>0</v>
      </c>
      <c r="I249" s="35"/>
      <c r="J249" s="35">
        <f>'DEPENSES PROGRAMME I'!L248</f>
        <v>0</v>
      </c>
      <c r="K249" s="35">
        <f>'DEPENSES PROGRAMME II'!L248</f>
        <v>0</v>
      </c>
      <c r="L249" s="35">
        <f>'DEPENSES PROGRAMME III'!L248</f>
        <v>0</v>
      </c>
      <c r="M249" s="35"/>
      <c r="N249" s="35">
        <f>'DEPENSES PROGRAMME I'!M248</f>
        <v>0</v>
      </c>
      <c r="O249" s="35">
        <f>'DEPENSES PROGRAMME II'!M248</f>
        <v>0</v>
      </c>
      <c r="P249" s="35">
        <f>'DEPENSES PROGRAMME III'!M248</f>
        <v>0</v>
      </c>
      <c r="Q249" s="35"/>
    </row>
    <row r="250" spans="2:17" x14ac:dyDescent="0.3">
      <c r="B250" s="27"/>
      <c r="C250" s="17"/>
      <c r="D250" s="3">
        <v>2142</v>
      </c>
      <c r="E250" s="3" t="s">
        <v>391</v>
      </c>
      <c r="F250" s="35">
        <f>'DEPENSES PROGRAMME I'!K249</f>
        <v>0</v>
      </c>
      <c r="G250" s="35">
        <f>'DEPENSES PROGRAMME II'!K249</f>
        <v>0</v>
      </c>
      <c r="H250" s="35">
        <f>'DEPENSES PROGRAMME III'!K249</f>
        <v>0</v>
      </c>
      <c r="I250" s="35"/>
      <c r="J250" s="35">
        <f>'DEPENSES PROGRAMME I'!L249</f>
        <v>0</v>
      </c>
      <c r="K250" s="35">
        <f>'DEPENSES PROGRAMME II'!L249</f>
        <v>0</v>
      </c>
      <c r="L250" s="35">
        <f>'DEPENSES PROGRAMME III'!L249</f>
        <v>0</v>
      </c>
      <c r="M250" s="35"/>
      <c r="N250" s="35">
        <f>'DEPENSES PROGRAMME I'!M249</f>
        <v>0</v>
      </c>
      <c r="O250" s="35">
        <f>'DEPENSES PROGRAMME II'!M249</f>
        <v>0</v>
      </c>
      <c r="P250" s="35">
        <f>'DEPENSES PROGRAMME III'!M249</f>
        <v>0</v>
      </c>
      <c r="Q250" s="35"/>
    </row>
    <row r="251" spans="2:17" x14ac:dyDescent="0.3">
      <c r="B251" s="27"/>
      <c r="C251" s="17"/>
      <c r="D251" s="3">
        <v>2143</v>
      </c>
      <c r="E251" s="3" t="s">
        <v>392</v>
      </c>
      <c r="F251" s="35">
        <f>'DEPENSES PROGRAMME I'!K250</f>
        <v>0</v>
      </c>
      <c r="G251" s="35">
        <f>'DEPENSES PROGRAMME II'!K250</f>
        <v>0</v>
      </c>
      <c r="H251" s="35">
        <f>'DEPENSES PROGRAMME III'!K250</f>
        <v>0</v>
      </c>
      <c r="I251" s="35"/>
      <c r="J251" s="35">
        <f>'DEPENSES PROGRAMME I'!L250</f>
        <v>0</v>
      </c>
      <c r="K251" s="35">
        <f>'DEPENSES PROGRAMME II'!L250</f>
        <v>0</v>
      </c>
      <c r="L251" s="35">
        <f>'DEPENSES PROGRAMME III'!L250</f>
        <v>0</v>
      </c>
      <c r="M251" s="35"/>
      <c r="N251" s="35">
        <f>'DEPENSES PROGRAMME I'!M250</f>
        <v>0</v>
      </c>
      <c r="O251" s="35">
        <f>'DEPENSES PROGRAMME II'!M250</f>
        <v>0</v>
      </c>
      <c r="P251" s="35">
        <f>'DEPENSES PROGRAMME III'!M250</f>
        <v>0</v>
      </c>
      <c r="Q251" s="35"/>
    </row>
    <row r="252" spans="2:17" x14ac:dyDescent="0.3">
      <c r="B252" s="27"/>
      <c r="C252" s="17"/>
      <c r="D252" s="3">
        <v>2144</v>
      </c>
      <c r="E252" s="3" t="s">
        <v>393</v>
      </c>
      <c r="F252" s="35">
        <f>'DEPENSES PROGRAMME I'!K251</f>
        <v>0</v>
      </c>
      <c r="G252" s="35">
        <f>'DEPENSES PROGRAMME II'!K251</f>
        <v>0</v>
      </c>
      <c r="H252" s="35">
        <f>'DEPENSES PROGRAMME III'!K251</f>
        <v>0</v>
      </c>
      <c r="I252" s="35"/>
      <c r="J252" s="35">
        <f>'DEPENSES PROGRAMME I'!L251</f>
        <v>0</v>
      </c>
      <c r="K252" s="35">
        <f>'DEPENSES PROGRAMME II'!L251</f>
        <v>0</v>
      </c>
      <c r="L252" s="35">
        <f>'DEPENSES PROGRAMME III'!L251</f>
        <v>0</v>
      </c>
      <c r="M252" s="35"/>
      <c r="N252" s="35">
        <f>'DEPENSES PROGRAMME I'!M251</f>
        <v>0</v>
      </c>
      <c r="O252" s="35">
        <f>'DEPENSES PROGRAMME II'!M251</f>
        <v>0</v>
      </c>
      <c r="P252" s="35">
        <f>'DEPENSES PROGRAMME III'!M251</f>
        <v>0</v>
      </c>
      <c r="Q252" s="35"/>
    </row>
    <row r="253" spans="2:17" x14ac:dyDescent="0.3">
      <c r="B253" s="27"/>
      <c r="C253" s="17"/>
      <c r="D253" s="3">
        <v>2147</v>
      </c>
      <c r="E253" s="3" t="s">
        <v>394</v>
      </c>
      <c r="F253" s="35">
        <f>'DEPENSES PROGRAMME I'!K252</f>
        <v>0</v>
      </c>
      <c r="G253" s="35">
        <f>'DEPENSES PROGRAMME II'!K252</f>
        <v>0</v>
      </c>
      <c r="H253" s="35">
        <f>'DEPENSES PROGRAMME III'!K252</f>
        <v>0</v>
      </c>
      <c r="I253" s="35"/>
      <c r="J253" s="35">
        <f>'DEPENSES PROGRAMME I'!L252</f>
        <v>0</v>
      </c>
      <c r="K253" s="35">
        <f>'DEPENSES PROGRAMME II'!L252</f>
        <v>0</v>
      </c>
      <c r="L253" s="35">
        <f>'DEPENSES PROGRAMME III'!L252</f>
        <v>0</v>
      </c>
      <c r="M253" s="35"/>
      <c r="N253" s="35">
        <f>'DEPENSES PROGRAMME I'!M252</f>
        <v>0</v>
      </c>
      <c r="O253" s="35">
        <f>'DEPENSES PROGRAMME II'!M252</f>
        <v>0</v>
      </c>
      <c r="P253" s="35">
        <f>'DEPENSES PROGRAMME III'!M252</f>
        <v>0</v>
      </c>
      <c r="Q253" s="35"/>
    </row>
    <row r="254" spans="2:17" x14ac:dyDescent="0.3">
      <c r="B254" s="27"/>
      <c r="C254" s="17"/>
      <c r="D254" s="3">
        <v>2148</v>
      </c>
      <c r="E254" s="3" t="s">
        <v>395</v>
      </c>
      <c r="F254" s="35">
        <f>'DEPENSES PROGRAMME I'!K253</f>
        <v>0</v>
      </c>
      <c r="G254" s="35">
        <f>'DEPENSES PROGRAMME II'!K253</f>
        <v>0</v>
      </c>
      <c r="H254" s="35">
        <f>'DEPENSES PROGRAMME III'!K253</f>
        <v>0</v>
      </c>
      <c r="I254" s="35"/>
      <c r="J254" s="35">
        <f>'DEPENSES PROGRAMME I'!L253</f>
        <v>0</v>
      </c>
      <c r="K254" s="35">
        <f>'DEPENSES PROGRAMME II'!L253</f>
        <v>0</v>
      </c>
      <c r="L254" s="35">
        <f>'DEPENSES PROGRAMME III'!L253</f>
        <v>0</v>
      </c>
      <c r="M254" s="35"/>
      <c r="N254" s="35">
        <f>'DEPENSES PROGRAMME I'!M253</f>
        <v>0</v>
      </c>
      <c r="O254" s="35">
        <f>'DEPENSES PROGRAMME II'!M253</f>
        <v>0</v>
      </c>
      <c r="P254" s="35">
        <f>'DEPENSES PROGRAMME III'!M253</f>
        <v>0</v>
      </c>
      <c r="Q254" s="35"/>
    </row>
    <row r="255" spans="2:17" s="10" customFormat="1" x14ac:dyDescent="0.3">
      <c r="B255" s="27"/>
      <c r="C255" s="17">
        <v>215</v>
      </c>
      <c r="D255" s="17"/>
      <c r="E255" s="17" t="s">
        <v>361</v>
      </c>
      <c r="F255" s="53">
        <f>SUM(F256:F263)</f>
        <v>0</v>
      </c>
      <c r="G255" s="53">
        <f>SUM(G256:G263)</f>
        <v>0</v>
      </c>
      <c r="H255" s="53">
        <f>SUM(H256:H263)</f>
        <v>0</v>
      </c>
      <c r="I255" s="53"/>
      <c r="J255" s="53">
        <f>SUM(J256:J263)</f>
        <v>0</v>
      </c>
      <c r="K255" s="53">
        <f t="shared" ref="K255" si="325">SUM(K256:K263)</f>
        <v>0</v>
      </c>
      <c r="L255" s="53">
        <f t="shared" ref="L255" si="326">SUM(L256:L263)</f>
        <v>0</v>
      </c>
      <c r="M255" s="53"/>
      <c r="N255" s="53">
        <f>SUM(N256:N263)</f>
        <v>0</v>
      </c>
      <c r="O255" s="53">
        <f t="shared" ref="O255" si="327">SUM(O256:O263)</f>
        <v>0</v>
      </c>
      <c r="P255" s="53">
        <f t="shared" ref="P255" si="328">SUM(P256:P263)</f>
        <v>0</v>
      </c>
      <c r="Q255" s="53"/>
    </row>
    <row r="256" spans="2:17" x14ac:dyDescent="0.3">
      <c r="B256" s="27"/>
      <c r="C256" s="17"/>
      <c r="D256" s="3">
        <v>2151</v>
      </c>
      <c r="E256" s="3" t="s">
        <v>362</v>
      </c>
      <c r="F256" s="35">
        <f>'DEPENSES PROGRAMME I'!K255</f>
        <v>0</v>
      </c>
      <c r="G256" s="35">
        <f>'DEPENSES PROGRAMME II'!K255</f>
        <v>0</v>
      </c>
      <c r="H256" s="35">
        <f>'DEPENSES PROGRAMME III'!K255</f>
        <v>0</v>
      </c>
      <c r="I256" s="35"/>
      <c r="J256" s="35">
        <f>'DEPENSES PROGRAMME I'!L255</f>
        <v>0</v>
      </c>
      <c r="K256" s="35">
        <f>'DEPENSES PROGRAMME II'!L255</f>
        <v>0</v>
      </c>
      <c r="L256" s="35">
        <f>'DEPENSES PROGRAMME III'!L255</f>
        <v>0</v>
      </c>
      <c r="M256" s="35"/>
      <c r="N256" s="35">
        <f>'DEPENSES PROGRAMME I'!M255</f>
        <v>0</v>
      </c>
      <c r="O256" s="35">
        <f>'DEPENSES PROGRAMME II'!M255</f>
        <v>0</v>
      </c>
      <c r="P256" s="35">
        <f>'DEPENSES PROGRAMME III'!M255</f>
        <v>0</v>
      </c>
      <c r="Q256" s="35"/>
    </row>
    <row r="257" spans="2:17" x14ac:dyDescent="0.3">
      <c r="B257" s="27"/>
      <c r="C257" s="17"/>
      <c r="D257" s="3">
        <v>2152</v>
      </c>
      <c r="E257" s="3" t="s">
        <v>363</v>
      </c>
      <c r="F257" s="35">
        <f>'DEPENSES PROGRAMME I'!K256</f>
        <v>0</v>
      </c>
      <c r="G257" s="35">
        <f>'DEPENSES PROGRAMME II'!K256</f>
        <v>0</v>
      </c>
      <c r="H257" s="35">
        <f>'DEPENSES PROGRAMME III'!K256</f>
        <v>0</v>
      </c>
      <c r="I257" s="35"/>
      <c r="J257" s="35">
        <f>'DEPENSES PROGRAMME I'!L256</f>
        <v>0</v>
      </c>
      <c r="K257" s="35">
        <f>'DEPENSES PROGRAMME II'!L256</f>
        <v>0</v>
      </c>
      <c r="L257" s="35">
        <f>'DEPENSES PROGRAMME III'!L256</f>
        <v>0</v>
      </c>
      <c r="M257" s="35"/>
      <c r="N257" s="35">
        <f>'DEPENSES PROGRAMME I'!M256</f>
        <v>0</v>
      </c>
      <c r="O257" s="35">
        <f>'DEPENSES PROGRAMME II'!M256</f>
        <v>0</v>
      </c>
      <c r="P257" s="35">
        <f>'DEPENSES PROGRAMME III'!M256</f>
        <v>0</v>
      </c>
      <c r="Q257" s="35"/>
    </row>
    <row r="258" spans="2:17" x14ac:dyDescent="0.3">
      <c r="B258" s="27"/>
      <c r="C258" s="17"/>
      <c r="D258" s="3">
        <v>2153</v>
      </c>
      <c r="E258" s="3" t="s">
        <v>364</v>
      </c>
      <c r="F258" s="35">
        <f>'DEPENSES PROGRAMME I'!K257</f>
        <v>0</v>
      </c>
      <c r="G258" s="35">
        <f>'DEPENSES PROGRAMME II'!K257</f>
        <v>0</v>
      </c>
      <c r="H258" s="35">
        <f>'DEPENSES PROGRAMME III'!K257</f>
        <v>0</v>
      </c>
      <c r="I258" s="35"/>
      <c r="J258" s="35">
        <f>'DEPENSES PROGRAMME I'!L257</f>
        <v>0</v>
      </c>
      <c r="K258" s="35">
        <f>'DEPENSES PROGRAMME II'!L257</f>
        <v>0</v>
      </c>
      <c r="L258" s="35">
        <f>'DEPENSES PROGRAMME III'!L257</f>
        <v>0</v>
      </c>
      <c r="M258" s="35"/>
      <c r="N258" s="35">
        <f>'DEPENSES PROGRAMME I'!M257</f>
        <v>0</v>
      </c>
      <c r="O258" s="35">
        <f>'DEPENSES PROGRAMME II'!M257</f>
        <v>0</v>
      </c>
      <c r="P258" s="35">
        <f>'DEPENSES PROGRAMME III'!M257</f>
        <v>0</v>
      </c>
      <c r="Q258" s="35"/>
    </row>
    <row r="259" spans="2:17" x14ac:dyDescent="0.3">
      <c r="B259" s="27"/>
      <c r="C259" s="17"/>
      <c r="D259" s="3">
        <v>2154</v>
      </c>
      <c r="E259" s="3" t="s">
        <v>365</v>
      </c>
      <c r="F259" s="35">
        <f>'DEPENSES PROGRAMME I'!K258</f>
        <v>0</v>
      </c>
      <c r="G259" s="35">
        <f>'DEPENSES PROGRAMME II'!K258</f>
        <v>0</v>
      </c>
      <c r="H259" s="35">
        <f>'DEPENSES PROGRAMME III'!K258</f>
        <v>0</v>
      </c>
      <c r="I259" s="35"/>
      <c r="J259" s="35">
        <f>'DEPENSES PROGRAMME I'!L258</f>
        <v>0</v>
      </c>
      <c r="K259" s="35">
        <f>'DEPENSES PROGRAMME II'!L258</f>
        <v>0</v>
      </c>
      <c r="L259" s="35">
        <f>'DEPENSES PROGRAMME III'!L258</f>
        <v>0</v>
      </c>
      <c r="M259" s="35"/>
      <c r="N259" s="35">
        <f>'DEPENSES PROGRAMME I'!M258</f>
        <v>0</v>
      </c>
      <c r="O259" s="35">
        <f>'DEPENSES PROGRAMME II'!M258</f>
        <v>0</v>
      </c>
      <c r="P259" s="35">
        <f>'DEPENSES PROGRAMME III'!M258</f>
        <v>0</v>
      </c>
      <c r="Q259" s="35"/>
    </row>
    <row r="260" spans="2:17" x14ac:dyDescent="0.3">
      <c r="B260" s="27"/>
      <c r="C260" s="17"/>
      <c r="D260" s="3">
        <v>2155</v>
      </c>
      <c r="E260" s="3" t="s">
        <v>366</v>
      </c>
      <c r="F260" s="35">
        <f>'DEPENSES PROGRAMME I'!K259</f>
        <v>0</v>
      </c>
      <c r="G260" s="35">
        <f>'DEPENSES PROGRAMME II'!K259</f>
        <v>0</v>
      </c>
      <c r="H260" s="35">
        <f>'DEPENSES PROGRAMME III'!K259</f>
        <v>0</v>
      </c>
      <c r="I260" s="35"/>
      <c r="J260" s="35">
        <f>'DEPENSES PROGRAMME I'!L259</f>
        <v>0</v>
      </c>
      <c r="K260" s="35">
        <f>'DEPENSES PROGRAMME II'!L259</f>
        <v>0</v>
      </c>
      <c r="L260" s="35">
        <f>'DEPENSES PROGRAMME III'!L259</f>
        <v>0</v>
      </c>
      <c r="M260" s="35"/>
      <c r="N260" s="35">
        <f>'DEPENSES PROGRAMME I'!M259</f>
        <v>0</v>
      </c>
      <c r="O260" s="35">
        <f>'DEPENSES PROGRAMME II'!M259</f>
        <v>0</v>
      </c>
      <c r="P260" s="35">
        <f>'DEPENSES PROGRAMME III'!M259</f>
        <v>0</v>
      </c>
      <c r="Q260" s="35"/>
    </row>
    <row r="261" spans="2:17" x14ac:dyDescent="0.3">
      <c r="B261" s="27"/>
      <c r="C261" s="17"/>
      <c r="D261" s="3">
        <v>2156</v>
      </c>
      <c r="E261" s="3" t="s">
        <v>367</v>
      </c>
      <c r="F261" s="35">
        <f>'DEPENSES PROGRAMME I'!K260</f>
        <v>0</v>
      </c>
      <c r="G261" s="35">
        <f>'DEPENSES PROGRAMME II'!K260</f>
        <v>0</v>
      </c>
      <c r="H261" s="35">
        <f>'DEPENSES PROGRAMME III'!K260</f>
        <v>0</v>
      </c>
      <c r="I261" s="35"/>
      <c r="J261" s="35">
        <f>'DEPENSES PROGRAMME I'!L260</f>
        <v>0</v>
      </c>
      <c r="K261" s="35">
        <f>'DEPENSES PROGRAMME II'!L260</f>
        <v>0</v>
      </c>
      <c r="L261" s="35">
        <f>'DEPENSES PROGRAMME III'!L260</f>
        <v>0</v>
      </c>
      <c r="M261" s="35"/>
      <c r="N261" s="35">
        <f>'DEPENSES PROGRAMME I'!M260</f>
        <v>0</v>
      </c>
      <c r="O261" s="35">
        <f>'DEPENSES PROGRAMME II'!M260</f>
        <v>0</v>
      </c>
      <c r="P261" s="35">
        <f>'DEPENSES PROGRAMME III'!M260</f>
        <v>0</v>
      </c>
      <c r="Q261" s="35"/>
    </row>
    <row r="262" spans="2:17" x14ac:dyDescent="0.3">
      <c r="B262" s="27"/>
      <c r="C262" s="17"/>
      <c r="D262" s="3">
        <v>2157</v>
      </c>
      <c r="E262" s="3" t="s">
        <v>368</v>
      </c>
      <c r="F262" s="35">
        <f>'DEPENSES PROGRAMME I'!K261</f>
        <v>0</v>
      </c>
      <c r="G262" s="35">
        <f>'DEPENSES PROGRAMME II'!K261</f>
        <v>0</v>
      </c>
      <c r="H262" s="35">
        <f>'DEPENSES PROGRAMME III'!K261</f>
        <v>0</v>
      </c>
      <c r="I262" s="35"/>
      <c r="J262" s="35">
        <f>'DEPENSES PROGRAMME I'!L261</f>
        <v>0</v>
      </c>
      <c r="K262" s="35">
        <f>'DEPENSES PROGRAMME II'!L261</f>
        <v>0</v>
      </c>
      <c r="L262" s="35">
        <f>'DEPENSES PROGRAMME III'!L261</f>
        <v>0</v>
      </c>
      <c r="M262" s="35"/>
      <c r="N262" s="35">
        <f>'DEPENSES PROGRAMME I'!M261</f>
        <v>0</v>
      </c>
      <c r="O262" s="35">
        <f>'DEPENSES PROGRAMME II'!M261</f>
        <v>0</v>
      </c>
      <c r="P262" s="35">
        <f>'DEPENSES PROGRAMME III'!M261</f>
        <v>0</v>
      </c>
      <c r="Q262" s="35"/>
    </row>
    <row r="263" spans="2:17" x14ac:dyDescent="0.3">
      <c r="B263" s="27"/>
      <c r="C263" s="17"/>
      <c r="D263" s="3">
        <v>2158</v>
      </c>
      <c r="E263" s="3" t="s">
        <v>369</v>
      </c>
      <c r="F263" s="35">
        <f>'DEPENSES PROGRAMME I'!K262</f>
        <v>0</v>
      </c>
      <c r="G263" s="35">
        <f>'DEPENSES PROGRAMME II'!K262</f>
        <v>0</v>
      </c>
      <c r="H263" s="35">
        <f>'DEPENSES PROGRAMME III'!K262</f>
        <v>0</v>
      </c>
      <c r="I263" s="35"/>
      <c r="J263" s="35">
        <f>'DEPENSES PROGRAMME I'!L262</f>
        <v>0</v>
      </c>
      <c r="K263" s="35">
        <f>'DEPENSES PROGRAMME II'!L262</f>
        <v>0</v>
      </c>
      <c r="L263" s="35">
        <f>'DEPENSES PROGRAMME III'!L262</f>
        <v>0</v>
      </c>
      <c r="M263" s="35"/>
      <c r="N263" s="35">
        <f>'DEPENSES PROGRAMME I'!M262</f>
        <v>0</v>
      </c>
      <c r="O263" s="35">
        <f>'DEPENSES PROGRAMME II'!M262</f>
        <v>0</v>
      </c>
      <c r="P263" s="35">
        <f>'DEPENSES PROGRAMME III'!M262</f>
        <v>0</v>
      </c>
      <c r="Q263" s="35"/>
    </row>
    <row r="264" spans="2:17" s="10" customFormat="1" x14ac:dyDescent="0.3">
      <c r="B264" s="27"/>
      <c r="C264" s="17">
        <v>216</v>
      </c>
      <c r="D264" s="17"/>
      <c r="E264" s="17" t="s">
        <v>370</v>
      </c>
      <c r="F264" s="53">
        <f>SUM(F265:F272)</f>
        <v>0</v>
      </c>
      <c r="G264" s="53">
        <f t="shared" ref="G264:H264" si="329">SUM(G265:G272)</f>
        <v>0</v>
      </c>
      <c r="H264" s="53">
        <f t="shared" si="329"/>
        <v>0</v>
      </c>
      <c r="I264" s="53"/>
      <c r="J264" s="53">
        <f>SUM(J265:J272)</f>
        <v>0</v>
      </c>
      <c r="K264" s="53">
        <f t="shared" ref="K264" si="330">SUM(K265:K272)</f>
        <v>0</v>
      </c>
      <c r="L264" s="53">
        <f t="shared" ref="L264" si="331">SUM(L265:L272)</f>
        <v>0</v>
      </c>
      <c r="M264" s="53"/>
      <c r="N264" s="53">
        <f>SUM(N265:N272)</f>
        <v>0</v>
      </c>
      <c r="O264" s="53">
        <f t="shared" ref="O264" si="332">SUM(O265:O272)</f>
        <v>0</v>
      </c>
      <c r="P264" s="53">
        <f t="shared" ref="P264" si="333">SUM(P265:P272)</f>
        <v>0</v>
      </c>
      <c r="Q264" s="53"/>
    </row>
    <row r="265" spans="2:17" x14ac:dyDescent="0.3">
      <c r="B265" s="27"/>
      <c r="C265" s="17"/>
      <c r="D265" s="3">
        <v>2161</v>
      </c>
      <c r="E265" s="3" t="s">
        <v>371</v>
      </c>
      <c r="F265" s="35">
        <f>'DEPENSES PROGRAMME I'!K264</f>
        <v>0</v>
      </c>
      <c r="G265" s="35">
        <f>'DEPENSES PROGRAMME II'!K264</f>
        <v>0</v>
      </c>
      <c r="H265" s="35">
        <f>'DEPENSES PROGRAMME III'!K264</f>
        <v>0</v>
      </c>
      <c r="I265" s="35"/>
      <c r="J265" s="35">
        <f>'DEPENSES PROGRAMME I'!L264</f>
        <v>0</v>
      </c>
      <c r="K265" s="35">
        <f>'DEPENSES PROGRAMME II'!L264</f>
        <v>0</v>
      </c>
      <c r="L265" s="35">
        <f>'DEPENSES PROGRAMME III'!L264</f>
        <v>0</v>
      </c>
      <c r="M265" s="35"/>
      <c r="N265" s="35">
        <f>'DEPENSES PROGRAMME I'!M264</f>
        <v>0</v>
      </c>
      <c r="O265" s="35">
        <f>'DEPENSES PROGRAMME II'!M264</f>
        <v>0</v>
      </c>
      <c r="P265" s="35">
        <f>'DEPENSES PROGRAMME III'!M264</f>
        <v>0</v>
      </c>
      <c r="Q265" s="35"/>
    </row>
    <row r="266" spans="2:17" x14ac:dyDescent="0.3">
      <c r="B266" s="27"/>
      <c r="C266" s="17"/>
      <c r="D266" s="3">
        <v>2162</v>
      </c>
      <c r="E266" s="3" t="s">
        <v>372</v>
      </c>
      <c r="F266" s="35">
        <f>'DEPENSES PROGRAMME I'!K265</f>
        <v>0</v>
      </c>
      <c r="G266" s="35">
        <f>'DEPENSES PROGRAMME II'!K265</f>
        <v>0</v>
      </c>
      <c r="H266" s="35">
        <f>'DEPENSES PROGRAMME III'!K265</f>
        <v>0</v>
      </c>
      <c r="I266" s="35"/>
      <c r="J266" s="35">
        <f>'DEPENSES PROGRAMME I'!L265</f>
        <v>0</v>
      </c>
      <c r="K266" s="35">
        <f>'DEPENSES PROGRAMME II'!L265</f>
        <v>0</v>
      </c>
      <c r="L266" s="35">
        <f>'DEPENSES PROGRAMME III'!L265</f>
        <v>0</v>
      </c>
      <c r="M266" s="35"/>
      <c r="N266" s="35">
        <f>'DEPENSES PROGRAMME I'!M265</f>
        <v>0</v>
      </c>
      <c r="O266" s="35">
        <f>'DEPENSES PROGRAMME II'!M265</f>
        <v>0</v>
      </c>
      <c r="P266" s="35">
        <f>'DEPENSES PROGRAMME III'!M265</f>
        <v>0</v>
      </c>
      <c r="Q266" s="35"/>
    </row>
    <row r="267" spans="2:17" x14ac:dyDescent="0.3">
      <c r="B267" s="27"/>
      <c r="C267" s="17"/>
      <c r="D267" s="3">
        <v>2163</v>
      </c>
      <c r="E267" s="3" t="s">
        <v>373</v>
      </c>
      <c r="F267" s="35">
        <f>'DEPENSES PROGRAMME I'!K266</f>
        <v>0</v>
      </c>
      <c r="G267" s="35">
        <f>'DEPENSES PROGRAMME II'!K266</f>
        <v>0</v>
      </c>
      <c r="H267" s="35">
        <f>'DEPENSES PROGRAMME III'!K266</f>
        <v>0</v>
      </c>
      <c r="I267" s="35"/>
      <c r="J267" s="35">
        <f>'DEPENSES PROGRAMME I'!L266</f>
        <v>0</v>
      </c>
      <c r="K267" s="35">
        <f>'DEPENSES PROGRAMME II'!L266</f>
        <v>0</v>
      </c>
      <c r="L267" s="35">
        <f>'DEPENSES PROGRAMME III'!L266</f>
        <v>0</v>
      </c>
      <c r="M267" s="35"/>
      <c r="N267" s="35">
        <f>'DEPENSES PROGRAMME I'!M266</f>
        <v>0</v>
      </c>
      <c r="O267" s="35">
        <f>'DEPENSES PROGRAMME II'!M266</f>
        <v>0</v>
      </c>
      <c r="P267" s="35">
        <f>'DEPENSES PROGRAMME III'!M266</f>
        <v>0</v>
      </c>
      <c r="Q267" s="35"/>
    </row>
    <row r="268" spans="2:17" x14ac:dyDescent="0.3">
      <c r="B268" s="27"/>
      <c r="C268" s="17"/>
      <c r="D268" s="3">
        <v>2164</v>
      </c>
      <c r="E268" s="3" t="s">
        <v>374</v>
      </c>
      <c r="F268" s="35">
        <f>'DEPENSES PROGRAMME I'!K267</f>
        <v>0</v>
      </c>
      <c r="G268" s="35">
        <f>'DEPENSES PROGRAMME II'!K267</f>
        <v>0</v>
      </c>
      <c r="H268" s="35">
        <f>'DEPENSES PROGRAMME III'!K267</f>
        <v>0</v>
      </c>
      <c r="I268" s="35"/>
      <c r="J268" s="35">
        <f>'DEPENSES PROGRAMME I'!L267</f>
        <v>0</v>
      </c>
      <c r="K268" s="35">
        <f>'DEPENSES PROGRAMME II'!L267</f>
        <v>0</v>
      </c>
      <c r="L268" s="35">
        <f>'DEPENSES PROGRAMME III'!L267</f>
        <v>0</v>
      </c>
      <c r="M268" s="35"/>
      <c r="N268" s="35">
        <f>'DEPENSES PROGRAMME I'!M267</f>
        <v>0</v>
      </c>
      <c r="O268" s="35">
        <f>'DEPENSES PROGRAMME II'!M267</f>
        <v>0</v>
      </c>
      <c r="P268" s="35">
        <f>'DEPENSES PROGRAMME III'!M267</f>
        <v>0</v>
      </c>
      <c r="Q268" s="35"/>
    </row>
    <row r="269" spans="2:17" x14ac:dyDescent="0.3">
      <c r="B269" s="27"/>
      <c r="C269" s="17"/>
      <c r="D269" s="3">
        <v>2165</v>
      </c>
      <c r="E269" s="3" t="s">
        <v>375</v>
      </c>
      <c r="F269" s="35">
        <f>'DEPENSES PROGRAMME I'!K268</f>
        <v>0</v>
      </c>
      <c r="G269" s="35">
        <f>'DEPENSES PROGRAMME II'!K268</f>
        <v>0</v>
      </c>
      <c r="H269" s="35">
        <f>'DEPENSES PROGRAMME III'!K268</f>
        <v>0</v>
      </c>
      <c r="I269" s="35"/>
      <c r="J269" s="35">
        <f>'DEPENSES PROGRAMME I'!L268</f>
        <v>0</v>
      </c>
      <c r="K269" s="35">
        <f>'DEPENSES PROGRAMME II'!L268</f>
        <v>0</v>
      </c>
      <c r="L269" s="35">
        <f>'DEPENSES PROGRAMME III'!L268</f>
        <v>0</v>
      </c>
      <c r="M269" s="35"/>
      <c r="N269" s="35">
        <f>'DEPENSES PROGRAMME I'!M268</f>
        <v>0</v>
      </c>
      <c r="O269" s="35">
        <f>'DEPENSES PROGRAMME II'!M268</f>
        <v>0</v>
      </c>
      <c r="P269" s="35">
        <f>'DEPENSES PROGRAMME III'!M268</f>
        <v>0</v>
      </c>
      <c r="Q269" s="35"/>
    </row>
    <row r="270" spans="2:17" x14ac:dyDescent="0.3">
      <c r="B270" s="27"/>
      <c r="C270" s="17"/>
      <c r="D270" s="3">
        <v>2166</v>
      </c>
      <c r="E270" s="3" t="s">
        <v>376</v>
      </c>
      <c r="F270" s="35">
        <f>'DEPENSES PROGRAMME I'!K269</f>
        <v>0</v>
      </c>
      <c r="G270" s="35">
        <f>'DEPENSES PROGRAMME II'!K269</f>
        <v>0</v>
      </c>
      <c r="H270" s="35">
        <f>'DEPENSES PROGRAMME III'!K269</f>
        <v>0</v>
      </c>
      <c r="I270" s="35"/>
      <c r="J270" s="35">
        <f>'DEPENSES PROGRAMME I'!L269</f>
        <v>0</v>
      </c>
      <c r="K270" s="35">
        <f>'DEPENSES PROGRAMME II'!L269</f>
        <v>0</v>
      </c>
      <c r="L270" s="35">
        <f>'DEPENSES PROGRAMME III'!L269</f>
        <v>0</v>
      </c>
      <c r="M270" s="35"/>
      <c r="N270" s="35">
        <f>'DEPENSES PROGRAMME I'!M269</f>
        <v>0</v>
      </c>
      <c r="O270" s="35">
        <f>'DEPENSES PROGRAMME II'!M269</f>
        <v>0</v>
      </c>
      <c r="P270" s="35">
        <f>'DEPENSES PROGRAMME III'!M269</f>
        <v>0</v>
      </c>
      <c r="Q270" s="35"/>
    </row>
    <row r="271" spans="2:17" x14ac:dyDescent="0.3">
      <c r="B271" s="27"/>
      <c r="C271" s="17"/>
      <c r="D271" s="3">
        <v>2167</v>
      </c>
      <c r="E271" s="3" t="s">
        <v>377</v>
      </c>
      <c r="F271" s="35">
        <f>'DEPENSES PROGRAMME I'!K270</f>
        <v>0</v>
      </c>
      <c r="G271" s="35">
        <f>'DEPENSES PROGRAMME II'!K270</f>
        <v>0</v>
      </c>
      <c r="H271" s="35">
        <f>'DEPENSES PROGRAMME III'!K270</f>
        <v>0</v>
      </c>
      <c r="I271" s="35"/>
      <c r="J271" s="35">
        <f>'DEPENSES PROGRAMME I'!L270</f>
        <v>0</v>
      </c>
      <c r="K271" s="35">
        <f>'DEPENSES PROGRAMME II'!L270</f>
        <v>0</v>
      </c>
      <c r="L271" s="35">
        <f>'DEPENSES PROGRAMME III'!L270</f>
        <v>0</v>
      </c>
      <c r="M271" s="35"/>
      <c r="N271" s="35">
        <f>'DEPENSES PROGRAMME I'!M270</f>
        <v>0</v>
      </c>
      <c r="O271" s="35">
        <f>'DEPENSES PROGRAMME II'!M270</f>
        <v>0</v>
      </c>
      <c r="P271" s="35">
        <f>'DEPENSES PROGRAMME III'!M270</f>
        <v>0</v>
      </c>
      <c r="Q271" s="35"/>
    </row>
    <row r="272" spans="2:17" x14ac:dyDescent="0.3">
      <c r="B272" s="27"/>
      <c r="C272" s="17"/>
      <c r="D272" s="3">
        <v>2168</v>
      </c>
      <c r="E272" s="3" t="s">
        <v>378</v>
      </c>
      <c r="F272" s="35">
        <f>'DEPENSES PROGRAMME I'!K271</f>
        <v>0</v>
      </c>
      <c r="G272" s="35">
        <f>'DEPENSES PROGRAMME II'!K271</f>
        <v>0</v>
      </c>
      <c r="H272" s="35">
        <f>'DEPENSES PROGRAMME III'!K271</f>
        <v>0</v>
      </c>
      <c r="I272" s="35"/>
      <c r="J272" s="35">
        <f>'DEPENSES PROGRAMME I'!L271</f>
        <v>0</v>
      </c>
      <c r="K272" s="35">
        <f>'DEPENSES PROGRAMME II'!L271</f>
        <v>0</v>
      </c>
      <c r="L272" s="35">
        <f>'DEPENSES PROGRAMME III'!L271</f>
        <v>0</v>
      </c>
      <c r="M272" s="35"/>
      <c r="N272" s="35">
        <f>'DEPENSES PROGRAMME I'!M271</f>
        <v>0</v>
      </c>
      <c r="O272" s="35">
        <f>'DEPENSES PROGRAMME II'!M271</f>
        <v>0</v>
      </c>
      <c r="P272" s="35">
        <f>'DEPENSES PROGRAMME III'!M271</f>
        <v>0</v>
      </c>
      <c r="Q272" s="35"/>
    </row>
    <row r="273" spans="2:17" s="10" customFormat="1" x14ac:dyDescent="0.3">
      <c r="B273" s="27"/>
      <c r="C273" s="17">
        <v>217</v>
      </c>
      <c r="D273" s="17"/>
      <c r="E273" s="17" t="s">
        <v>379</v>
      </c>
      <c r="F273" s="53">
        <f>SUM(F274:F280)</f>
        <v>0</v>
      </c>
      <c r="G273" s="53">
        <f t="shared" ref="G273:H273" si="334">SUM(G274:G280)</f>
        <v>0</v>
      </c>
      <c r="H273" s="53">
        <f t="shared" si="334"/>
        <v>0</v>
      </c>
      <c r="I273" s="53"/>
      <c r="J273" s="53">
        <f>SUM(J274:J280)</f>
        <v>0</v>
      </c>
      <c r="K273" s="53">
        <f t="shared" ref="K273" si="335">SUM(K274:K280)</f>
        <v>0</v>
      </c>
      <c r="L273" s="53">
        <f t="shared" ref="L273" si="336">SUM(L274:L280)</f>
        <v>0</v>
      </c>
      <c r="M273" s="53"/>
      <c r="N273" s="53">
        <f>SUM(N274:N280)</f>
        <v>0</v>
      </c>
      <c r="O273" s="53">
        <f t="shared" ref="O273" si="337">SUM(O274:O280)</f>
        <v>0</v>
      </c>
      <c r="P273" s="53">
        <f t="shared" ref="P273" si="338">SUM(P274:P280)</f>
        <v>0</v>
      </c>
      <c r="Q273" s="53"/>
    </row>
    <row r="274" spans="2:17" x14ac:dyDescent="0.3">
      <c r="B274" s="27"/>
      <c r="C274" s="17"/>
      <c r="D274" s="3">
        <v>2171</v>
      </c>
      <c r="E274" s="3" t="s">
        <v>380</v>
      </c>
      <c r="F274" s="35">
        <f>'DEPENSES PROGRAMME I'!K273</f>
        <v>0</v>
      </c>
      <c r="G274" s="35">
        <f>'DEPENSES PROGRAMME II'!K273</f>
        <v>0</v>
      </c>
      <c r="H274" s="35">
        <f>'DEPENSES PROGRAMME III'!K273</f>
        <v>0</v>
      </c>
      <c r="I274" s="35"/>
      <c r="J274" s="35">
        <f>'DEPENSES PROGRAMME I'!L273</f>
        <v>0</v>
      </c>
      <c r="K274" s="35">
        <f>'DEPENSES PROGRAMME II'!L273</f>
        <v>0</v>
      </c>
      <c r="L274" s="35">
        <f>'DEPENSES PROGRAMME III'!L273</f>
        <v>0</v>
      </c>
      <c r="M274" s="35"/>
      <c r="N274" s="35">
        <f>'DEPENSES PROGRAMME I'!M273</f>
        <v>0</v>
      </c>
      <c r="O274" s="35">
        <f>'DEPENSES PROGRAMME II'!M273</f>
        <v>0</v>
      </c>
      <c r="P274" s="35">
        <f>'DEPENSES PROGRAMME III'!M273</f>
        <v>0</v>
      </c>
      <c r="Q274" s="35"/>
    </row>
    <row r="275" spans="2:17" x14ac:dyDescent="0.3">
      <c r="B275" s="27"/>
      <c r="C275" s="17"/>
      <c r="D275" s="3">
        <v>2172</v>
      </c>
      <c r="E275" s="3" t="s">
        <v>381</v>
      </c>
      <c r="F275" s="35">
        <f>'DEPENSES PROGRAMME I'!K274</f>
        <v>0</v>
      </c>
      <c r="G275" s="35">
        <f>'DEPENSES PROGRAMME II'!K274</f>
        <v>0</v>
      </c>
      <c r="H275" s="35">
        <f>'DEPENSES PROGRAMME III'!K274</f>
        <v>0</v>
      </c>
      <c r="I275" s="35"/>
      <c r="J275" s="35">
        <f>'DEPENSES PROGRAMME I'!L274</f>
        <v>0</v>
      </c>
      <c r="K275" s="35">
        <f>'DEPENSES PROGRAMME II'!L274</f>
        <v>0</v>
      </c>
      <c r="L275" s="35">
        <f>'DEPENSES PROGRAMME III'!L274</f>
        <v>0</v>
      </c>
      <c r="M275" s="35"/>
      <c r="N275" s="35">
        <f>'DEPENSES PROGRAMME I'!M274</f>
        <v>0</v>
      </c>
      <c r="O275" s="35">
        <f>'DEPENSES PROGRAMME II'!M274</f>
        <v>0</v>
      </c>
      <c r="P275" s="35">
        <f>'DEPENSES PROGRAMME III'!M274</f>
        <v>0</v>
      </c>
      <c r="Q275" s="35"/>
    </row>
    <row r="276" spans="2:17" x14ac:dyDescent="0.3">
      <c r="B276" s="27"/>
      <c r="C276" s="17"/>
      <c r="D276" s="3">
        <v>2173</v>
      </c>
      <c r="E276" s="3" t="s">
        <v>382</v>
      </c>
      <c r="F276" s="35">
        <f>'DEPENSES PROGRAMME I'!K275</f>
        <v>0</v>
      </c>
      <c r="G276" s="35">
        <f>'DEPENSES PROGRAMME II'!K275</f>
        <v>0</v>
      </c>
      <c r="H276" s="35">
        <f>'DEPENSES PROGRAMME III'!K275</f>
        <v>0</v>
      </c>
      <c r="I276" s="35"/>
      <c r="J276" s="35">
        <f>'DEPENSES PROGRAMME I'!L275</f>
        <v>0</v>
      </c>
      <c r="K276" s="35">
        <f>'DEPENSES PROGRAMME II'!L275</f>
        <v>0</v>
      </c>
      <c r="L276" s="35">
        <f>'DEPENSES PROGRAMME III'!L275</f>
        <v>0</v>
      </c>
      <c r="M276" s="35"/>
      <c r="N276" s="35">
        <f>'DEPENSES PROGRAMME I'!M275</f>
        <v>0</v>
      </c>
      <c r="O276" s="35">
        <f>'DEPENSES PROGRAMME II'!M275</f>
        <v>0</v>
      </c>
      <c r="P276" s="35">
        <f>'DEPENSES PROGRAMME III'!M275</f>
        <v>0</v>
      </c>
      <c r="Q276" s="35"/>
    </row>
    <row r="277" spans="2:17" x14ac:dyDescent="0.3">
      <c r="B277" s="27"/>
      <c r="C277" s="17"/>
      <c r="D277" s="3">
        <v>2174</v>
      </c>
      <c r="E277" s="3" t="s">
        <v>383</v>
      </c>
      <c r="F277" s="35">
        <f>'DEPENSES PROGRAMME I'!K276</f>
        <v>0</v>
      </c>
      <c r="G277" s="35">
        <f>'DEPENSES PROGRAMME II'!K276</f>
        <v>0</v>
      </c>
      <c r="H277" s="35">
        <f>'DEPENSES PROGRAMME III'!K276</f>
        <v>0</v>
      </c>
      <c r="I277" s="35"/>
      <c r="J277" s="35">
        <f>'DEPENSES PROGRAMME I'!L276</f>
        <v>0</v>
      </c>
      <c r="K277" s="35">
        <f>'DEPENSES PROGRAMME II'!L276</f>
        <v>0</v>
      </c>
      <c r="L277" s="35">
        <f>'DEPENSES PROGRAMME III'!L276</f>
        <v>0</v>
      </c>
      <c r="M277" s="35"/>
      <c r="N277" s="35">
        <f>'DEPENSES PROGRAMME I'!M276</f>
        <v>0</v>
      </c>
      <c r="O277" s="35">
        <f>'DEPENSES PROGRAMME II'!M276</f>
        <v>0</v>
      </c>
      <c r="P277" s="35">
        <f>'DEPENSES PROGRAMME III'!M276</f>
        <v>0</v>
      </c>
      <c r="Q277" s="35"/>
    </row>
    <row r="278" spans="2:17" x14ac:dyDescent="0.3">
      <c r="B278" s="27"/>
      <c r="C278" s="17"/>
      <c r="D278" s="3">
        <v>2175</v>
      </c>
      <c r="E278" s="3" t="s">
        <v>384</v>
      </c>
      <c r="F278" s="35">
        <f>'DEPENSES PROGRAMME I'!K277</f>
        <v>0</v>
      </c>
      <c r="G278" s="35">
        <f>'DEPENSES PROGRAMME II'!K277</f>
        <v>0</v>
      </c>
      <c r="H278" s="35">
        <f>'DEPENSES PROGRAMME III'!K277</f>
        <v>0</v>
      </c>
      <c r="I278" s="35"/>
      <c r="J278" s="35">
        <f>'DEPENSES PROGRAMME I'!L277</f>
        <v>0</v>
      </c>
      <c r="K278" s="35">
        <f>'DEPENSES PROGRAMME II'!L277</f>
        <v>0</v>
      </c>
      <c r="L278" s="35">
        <f>'DEPENSES PROGRAMME III'!L277</f>
        <v>0</v>
      </c>
      <c r="M278" s="35"/>
      <c r="N278" s="35">
        <f>'DEPENSES PROGRAMME I'!M277</f>
        <v>0</v>
      </c>
      <c r="O278" s="35">
        <f>'DEPENSES PROGRAMME II'!M277</f>
        <v>0</v>
      </c>
      <c r="P278" s="35">
        <f>'DEPENSES PROGRAMME III'!M277</f>
        <v>0</v>
      </c>
      <c r="Q278" s="35"/>
    </row>
    <row r="279" spans="2:17" x14ac:dyDescent="0.3">
      <c r="B279" s="27"/>
      <c r="C279" s="17"/>
      <c r="D279" s="3">
        <v>2176</v>
      </c>
      <c r="E279" s="3" t="s">
        <v>385</v>
      </c>
      <c r="F279" s="35">
        <f>'DEPENSES PROGRAMME I'!K278</f>
        <v>0</v>
      </c>
      <c r="G279" s="35">
        <f>'DEPENSES PROGRAMME II'!K278</f>
        <v>0</v>
      </c>
      <c r="H279" s="35">
        <f>'DEPENSES PROGRAMME III'!K278</f>
        <v>0</v>
      </c>
      <c r="I279" s="35"/>
      <c r="J279" s="35">
        <f>'DEPENSES PROGRAMME I'!L278</f>
        <v>0</v>
      </c>
      <c r="K279" s="35">
        <f>'DEPENSES PROGRAMME II'!L278</f>
        <v>0</v>
      </c>
      <c r="L279" s="35">
        <f>'DEPENSES PROGRAMME III'!L278</f>
        <v>0</v>
      </c>
      <c r="M279" s="35"/>
      <c r="N279" s="35">
        <f>'DEPENSES PROGRAMME I'!M278</f>
        <v>0</v>
      </c>
      <c r="O279" s="35">
        <f>'DEPENSES PROGRAMME II'!M278</f>
        <v>0</v>
      </c>
      <c r="P279" s="35">
        <f>'DEPENSES PROGRAMME III'!M278</f>
        <v>0</v>
      </c>
      <c r="Q279" s="35"/>
    </row>
    <row r="280" spans="2:17" x14ac:dyDescent="0.3">
      <c r="B280" s="27"/>
      <c r="C280" s="17"/>
      <c r="D280" s="3">
        <v>2178</v>
      </c>
      <c r="E280" s="3" t="s">
        <v>386</v>
      </c>
      <c r="F280" s="35">
        <f>'DEPENSES PROGRAMME I'!K279</f>
        <v>0</v>
      </c>
      <c r="G280" s="35">
        <f>'DEPENSES PROGRAMME II'!K279</f>
        <v>0</v>
      </c>
      <c r="H280" s="35">
        <f>'DEPENSES PROGRAMME III'!K279</f>
        <v>0</v>
      </c>
      <c r="I280" s="35"/>
      <c r="J280" s="35">
        <f>'DEPENSES PROGRAMME I'!L279</f>
        <v>0</v>
      </c>
      <c r="K280" s="35">
        <f>'DEPENSES PROGRAMME II'!L279</f>
        <v>0</v>
      </c>
      <c r="L280" s="35">
        <f>'DEPENSES PROGRAMME III'!L279</f>
        <v>0</v>
      </c>
      <c r="M280" s="35"/>
      <c r="N280" s="35">
        <f>'DEPENSES PROGRAMME I'!M279</f>
        <v>0</v>
      </c>
      <c r="O280" s="35">
        <f>'DEPENSES PROGRAMME II'!M279</f>
        <v>0</v>
      </c>
      <c r="P280" s="35">
        <f>'DEPENSES PROGRAMME III'!M279</f>
        <v>0</v>
      </c>
      <c r="Q280" s="35"/>
    </row>
    <row r="281" spans="2:17" s="10" customFormat="1" x14ac:dyDescent="0.3">
      <c r="B281" s="27"/>
      <c r="C281" s="17">
        <v>218</v>
      </c>
      <c r="D281" s="17"/>
      <c r="E281" s="17" t="s">
        <v>131</v>
      </c>
      <c r="F281" s="53">
        <f>SUM(F282:F285)</f>
        <v>0</v>
      </c>
      <c r="G281" s="53">
        <f t="shared" ref="G281:H281" si="339">SUM(G282:G285)</f>
        <v>0</v>
      </c>
      <c r="H281" s="53">
        <f t="shared" si="339"/>
        <v>0</v>
      </c>
      <c r="I281" s="53"/>
      <c r="J281" s="53">
        <f>SUM(J282:J285)</f>
        <v>0</v>
      </c>
      <c r="K281" s="53">
        <f t="shared" ref="K281" si="340">SUM(K282:K285)</f>
        <v>0</v>
      </c>
      <c r="L281" s="53">
        <f t="shared" ref="L281" si="341">SUM(L282:L285)</f>
        <v>0</v>
      </c>
      <c r="M281" s="53"/>
      <c r="N281" s="53">
        <f>SUM(N282:N285)</f>
        <v>0</v>
      </c>
      <c r="O281" s="53">
        <f t="shared" ref="O281" si="342">SUM(O282:O285)</f>
        <v>0</v>
      </c>
      <c r="P281" s="53">
        <f t="shared" ref="P281" si="343">SUM(P282:P285)</f>
        <v>0</v>
      </c>
      <c r="Q281" s="53"/>
    </row>
    <row r="282" spans="2:17" x14ac:dyDescent="0.3">
      <c r="B282" s="27"/>
      <c r="C282" s="17"/>
      <c r="D282" s="3">
        <v>2181</v>
      </c>
      <c r="E282" s="3" t="s">
        <v>387</v>
      </c>
      <c r="F282" s="35">
        <f>'DEPENSES PROGRAMME I'!K281</f>
        <v>0</v>
      </c>
      <c r="G282" s="35">
        <f>'DEPENSES PROGRAMME II'!K281</f>
        <v>0</v>
      </c>
      <c r="H282" s="35">
        <f>'DEPENSES PROGRAMME III'!K281</f>
        <v>0</v>
      </c>
      <c r="I282" s="35"/>
      <c r="J282" s="35">
        <f>'DEPENSES PROGRAMME I'!L281</f>
        <v>0</v>
      </c>
      <c r="K282" s="35">
        <f>'DEPENSES PROGRAMME II'!L281</f>
        <v>0</v>
      </c>
      <c r="L282" s="35">
        <f>'DEPENSES PROGRAMME III'!L281</f>
        <v>0</v>
      </c>
      <c r="M282" s="35"/>
      <c r="N282" s="35">
        <f>'DEPENSES PROGRAMME I'!M281</f>
        <v>0</v>
      </c>
      <c r="O282" s="35">
        <f>'DEPENSES PROGRAMME II'!M281</f>
        <v>0</v>
      </c>
      <c r="P282" s="35">
        <f>'DEPENSES PROGRAMME III'!M281</f>
        <v>0</v>
      </c>
      <c r="Q282" s="35"/>
    </row>
    <row r="283" spans="2:17" x14ac:dyDescent="0.3">
      <c r="B283" s="27"/>
      <c r="C283" s="17"/>
      <c r="D283" s="3">
        <v>2182</v>
      </c>
      <c r="E283" s="3" t="s">
        <v>388</v>
      </c>
      <c r="F283" s="35">
        <f>'DEPENSES PROGRAMME I'!K282</f>
        <v>0</v>
      </c>
      <c r="G283" s="35">
        <f>'DEPENSES PROGRAMME II'!K282</f>
        <v>0</v>
      </c>
      <c r="H283" s="35">
        <f>'DEPENSES PROGRAMME III'!K282</f>
        <v>0</v>
      </c>
      <c r="I283" s="35"/>
      <c r="J283" s="35">
        <f>'DEPENSES PROGRAMME I'!L282</f>
        <v>0</v>
      </c>
      <c r="K283" s="35">
        <f>'DEPENSES PROGRAMME II'!L282</f>
        <v>0</v>
      </c>
      <c r="L283" s="35">
        <f>'DEPENSES PROGRAMME III'!L282</f>
        <v>0</v>
      </c>
      <c r="M283" s="35"/>
      <c r="N283" s="35">
        <f>'DEPENSES PROGRAMME I'!M282</f>
        <v>0</v>
      </c>
      <c r="O283" s="35">
        <f>'DEPENSES PROGRAMME II'!M282</f>
        <v>0</v>
      </c>
      <c r="P283" s="35">
        <f>'DEPENSES PROGRAMME III'!M282</f>
        <v>0</v>
      </c>
      <c r="Q283" s="35"/>
    </row>
    <row r="284" spans="2:17" x14ac:dyDescent="0.3">
      <c r="B284" s="27"/>
      <c r="C284" s="17"/>
      <c r="D284" s="3">
        <v>2183</v>
      </c>
      <c r="E284" s="3" t="s">
        <v>389</v>
      </c>
      <c r="F284" s="35">
        <f>'DEPENSES PROGRAMME I'!K283</f>
        <v>0</v>
      </c>
      <c r="G284" s="35">
        <f>'DEPENSES PROGRAMME II'!K283</f>
        <v>0</v>
      </c>
      <c r="H284" s="35">
        <f>'DEPENSES PROGRAMME III'!K283</f>
        <v>0</v>
      </c>
      <c r="I284" s="35"/>
      <c r="J284" s="35">
        <f>'DEPENSES PROGRAMME I'!L283</f>
        <v>0</v>
      </c>
      <c r="K284" s="35">
        <f>'DEPENSES PROGRAMME II'!L283</f>
        <v>0</v>
      </c>
      <c r="L284" s="35">
        <f>'DEPENSES PROGRAMME III'!L283</f>
        <v>0</v>
      </c>
      <c r="M284" s="35"/>
      <c r="N284" s="35">
        <f>'DEPENSES PROGRAMME I'!M283</f>
        <v>0</v>
      </c>
      <c r="O284" s="35">
        <f>'DEPENSES PROGRAMME II'!M283</f>
        <v>0</v>
      </c>
      <c r="P284" s="35">
        <f>'DEPENSES PROGRAMME III'!M283</f>
        <v>0</v>
      </c>
      <c r="Q284" s="35"/>
    </row>
    <row r="285" spans="2:17" x14ac:dyDescent="0.3">
      <c r="B285" s="27"/>
      <c r="C285" s="17"/>
      <c r="D285" s="3">
        <v>2188</v>
      </c>
      <c r="E285" s="3" t="s">
        <v>131</v>
      </c>
      <c r="F285" s="35">
        <f>'DEPENSES PROGRAMME I'!K284</f>
        <v>0</v>
      </c>
      <c r="G285" s="35">
        <f>'DEPENSES PROGRAMME II'!K284</f>
        <v>0</v>
      </c>
      <c r="H285" s="35">
        <f>'DEPENSES PROGRAMME III'!K284</f>
        <v>0</v>
      </c>
      <c r="I285" s="35"/>
      <c r="J285" s="35">
        <f>'DEPENSES PROGRAMME I'!L284</f>
        <v>0</v>
      </c>
      <c r="K285" s="35">
        <f>'DEPENSES PROGRAMME II'!L284</f>
        <v>0</v>
      </c>
      <c r="L285" s="35">
        <f>'DEPENSES PROGRAMME III'!L284</f>
        <v>0</v>
      </c>
      <c r="M285" s="35"/>
      <c r="N285" s="35">
        <f>'DEPENSES PROGRAMME I'!M284</f>
        <v>0</v>
      </c>
      <c r="O285" s="35">
        <f>'DEPENSES PROGRAMME II'!M284</f>
        <v>0</v>
      </c>
      <c r="P285" s="35">
        <f>'DEPENSES PROGRAMME III'!M284</f>
        <v>0</v>
      </c>
      <c r="Q285" s="35"/>
    </row>
    <row r="286" spans="2:17" s="10" customFormat="1" ht="30" customHeight="1" x14ac:dyDescent="0.3">
      <c r="B286" s="29"/>
      <c r="C286" s="2"/>
      <c r="D286" s="2"/>
      <c r="E286" s="2" t="s">
        <v>169</v>
      </c>
      <c r="F286" s="38">
        <f>F195+F209+F224</f>
        <v>0</v>
      </c>
      <c r="G286" s="38">
        <f t="shared" ref="G286" si="344">G195+G209+G224</f>
        <v>0</v>
      </c>
      <c r="H286" s="38">
        <f>H195+H209+H224</f>
        <v>0</v>
      </c>
      <c r="I286" s="38">
        <f>I195+I209+I224</f>
        <v>0</v>
      </c>
      <c r="J286" s="38">
        <f>J195+J209+J224</f>
        <v>0</v>
      </c>
      <c r="K286" s="38">
        <f t="shared" ref="K286" si="345">K195+K209+K224</f>
        <v>0</v>
      </c>
      <c r="L286" s="38">
        <f>L195+L209+L224</f>
        <v>0</v>
      </c>
      <c r="M286" s="38">
        <f>M195+M209+M224</f>
        <v>0</v>
      </c>
      <c r="N286" s="38">
        <f>N195+N209+N224</f>
        <v>0</v>
      </c>
      <c r="O286" s="38">
        <f t="shared" ref="O286:Q286" si="346">O195+O209+O224</f>
        <v>0</v>
      </c>
      <c r="P286" s="38">
        <f t="shared" si="346"/>
        <v>0</v>
      </c>
      <c r="Q286" s="38">
        <f t="shared" si="346"/>
        <v>0</v>
      </c>
    </row>
    <row r="287" spans="2:17" s="10" customFormat="1" ht="30" customHeight="1" x14ac:dyDescent="0.3">
      <c r="B287" s="27">
        <v>20</v>
      </c>
      <c r="C287" s="17"/>
      <c r="D287" s="17"/>
      <c r="E287" s="17" t="s">
        <v>167</v>
      </c>
      <c r="F287" s="35">
        <f>'DEPENSES PROGRAMME I'!K286</f>
        <v>0</v>
      </c>
      <c r="G287" s="35">
        <f>'DEPENSES PROGRAMME II'!K287</f>
        <v>0</v>
      </c>
      <c r="H287" s="35">
        <f>'DEPENSES PROGRAMME III'!K287</f>
        <v>0</v>
      </c>
      <c r="I287" s="43">
        <f>SUM(F287,G287,H287)</f>
        <v>0</v>
      </c>
      <c r="J287" s="35">
        <f>'DEPENSES PROGRAMME I'!L286</f>
        <v>0</v>
      </c>
      <c r="K287" s="35">
        <f>'DEPENSES PROGRAMME II'!L286</f>
        <v>0</v>
      </c>
      <c r="L287" s="35">
        <f>'DEPENSES PROGRAMME III'!L286</f>
        <v>0</v>
      </c>
      <c r="M287" s="43">
        <f>SUM(J287,K287,L287)</f>
        <v>0</v>
      </c>
      <c r="N287" s="35">
        <f>'DEPENSES PROGRAMME I'!M286</f>
        <v>0</v>
      </c>
      <c r="O287" s="35">
        <f>'DEPENSES PROGRAMME II'!M286</f>
        <v>0</v>
      </c>
      <c r="P287" s="35">
        <f>'DEPENSES PROGRAMME III'!M286</f>
        <v>0</v>
      </c>
      <c r="Q287" s="43">
        <f>SUM(N287,O287,P287)</f>
        <v>0</v>
      </c>
    </row>
    <row r="288" spans="2:17" s="10" customFormat="1" ht="30" customHeight="1" x14ac:dyDescent="0.3">
      <c r="B288" s="27">
        <v>21</v>
      </c>
      <c r="C288" s="17"/>
      <c r="D288" s="17"/>
      <c r="E288" s="17" t="s">
        <v>168</v>
      </c>
      <c r="F288" s="35">
        <f>'DEPENSES PROGRAMME I'!K287</f>
        <v>0</v>
      </c>
      <c r="G288" s="35">
        <f>'DEPENSES PROGRAMME II'!K288</f>
        <v>0</v>
      </c>
      <c r="H288" s="35">
        <f>'DEPENSES PROGRAMME III'!K288</f>
        <v>0</v>
      </c>
      <c r="I288" s="43">
        <f t="shared" ref="I288" si="347">SUM(F288,G288,H288)</f>
        <v>0</v>
      </c>
      <c r="J288" s="35">
        <f>'DEPENSES PROGRAMME I'!L287</f>
        <v>0</v>
      </c>
      <c r="K288" s="35">
        <f>'DEPENSES PROGRAMME II'!L287</f>
        <v>0</v>
      </c>
      <c r="L288" s="35">
        <f>'DEPENSES PROGRAMME III'!L287</f>
        <v>0</v>
      </c>
      <c r="M288" s="43">
        <f>SUM(J288,K288,L288)</f>
        <v>0</v>
      </c>
      <c r="N288" s="35">
        <f>'DEPENSES PROGRAMME I'!M287</f>
        <v>0</v>
      </c>
      <c r="O288" s="35">
        <f>'DEPENSES PROGRAMME II'!M287</f>
        <v>0</v>
      </c>
      <c r="P288" s="35">
        <f>'DEPENSES PROGRAMME III'!M287</f>
        <v>0</v>
      </c>
      <c r="Q288" s="43">
        <f>SUM(N288,O288,P288)</f>
        <v>0</v>
      </c>
    </row>
    <row r="289" spans="2:17" s="10" customFormat="1" ht="30" customHeight="1" x14ac:dyDescent="0.3">
      <c r="B289" s="29"/>
      <c r="C289" s="2"/>
      <c r="D289" s="2"/>
      <c r="E289" s="2" t="s">
        <v>170</v>
      </c>
      <c r="F289" s="38">
        <f>SUM(F287:F288)</f>
        <v>0</v>
      </c>
      <c r="G289" s="38">
        <f t="shared" ref="G289:H289" si="348">SUM(G287:G288)</f>
        <v>0</v>
      </c>
      <c r="H289" s="38">
        <f t="shared" si="348"/>
        <v>0</v>
      </c>
      <c r="I289" s="38">
        <f>SUM(I287:I288)</f>
        <v>0</v>
      </c>
      <c r="J289" s="38">
        <f>SUM(J287:J288)</f>
        <v>0</v>
      </c>
      <c r="K289" s="38">
        <f t="shared" ref="K289:L289" si="349">SUM(K287:K288)</f>
        <v>0</v>
      </c>
      <c r="L289" s="38">
        <f t="shared" si="349"/>
        <v>0</v>
      </c>
      <c r="M289" s="38">
        <f>SUM(M287:M288)</f>
        <v>0</v>
      </c>
      <c r="N289" s="38">
        <f>SUM(N287:N288)</f>
        <v>0</v>
      </c>
      <c r="O289" s="38">
        <f t="shared" ref="O289:Q289" si="350">SUM(O287:O288)</f>
        <v>0</v>
      </c>
      <c r="P289" s="38">
        <f t="shared" si="350"/>
        <v>0</v>
      </c>
      <c r="Q289" s="38">
        <f t="shared" si="350"/>
        <v>0</v>
      </c>
    </row>
    <row r="290" spans="2:17" s="10" customFormat="1" ht="30" customHeight="1" x14ac:dyDescent="0.3">
      <c r="B290" s="29"/>
      <c r="C290" s="2"/>
      <c r="D290" s="2"/>
      <c r="E290" s="2" t="s">
        <v>103</v>
      </c>
      <c r="F290" s="38">
        <f>F286+F289</f>
        <v>0</v>
      </c>
      <c r="G290" s="38">
        <f t="shared" ref="G290:I290" si="351">G286+G289</f>
        <v>0</v>
      </c>
      <c r="H290" s="38">
        <f t="shared" si="351"/>
        <v>0</v>
      </c>
      <c r="I290" s="38">
        <f t="shared" si="351"/>
        <v>0</v>
      </c>
      <c r="J290" s="38">
        <f>J286+J289</f>
        <v>0</v>
      </c>
      <c r="K290" s="38">
        <f t="shared" ref="K290:L290" si="352">K286+K289</f>
        <v>0</v>
      </c>
      <c r="L290" s="38">
        <f t="shared" si="352"/>
        <v>0</v>
      </c>
      <c r="M290" s="38">
        <f>M286+M289</f>
        <v>0</v>
      </c>
      <c r="N290" s="38">
        <f>N286+N289</f>
        <v>0</v>
      </c>
      <c r="O290" s="38">
        <f t="shared" ref="O290:Q290" si="353">O286+O289</f>
        <v>0</v>
      </c>
      <c r="P290" s="38">
        <f t="shared" si="353"/>
        <v>0</v>
      </c>
      <c r="Q290" s="38">
        <f t="shared" si="353"/>
        <v>0</v>
      </c>
    </row>
  </sheetData>
  <mergeCells count="9">
    <mergeCell ref="B7:Q7"/>
    <mergeCell ref="B2:Q2"/>
    <mergeCell ref="F193:I193"/>
    <mergeCell ref="J193:M193"/>
    <mergeCell ref="N193:Q193"/>
    <mergeCell ref="B192:Q192"/>
    <mergeCell ref="F8:I8"/>
    <mergeCell ref="J8:M8"/>
    <mergeCell ref="N8:Q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B59F-2A2E-46C1-BBAD-D47E2AAECDE0}">
  <sheetPr>
    <tabColor theme="5" tint="-0.249977111117893"/>
  </sheetPr>
  <dimension ref="B2:H30"/>
  <sheetViews>
    <sheetView zoomScale="70" zoomScaleNormal="70" workbookViewId="0">
      <selection activeCell="B2" sqref="B2:H2"/>
    </sheetView>
  </sheetViews>
  <sheetFormatPr baseColWidth="10" defaultColWidth="11.5546875" defaultRowHeight="14.4" x14ac:dyDescent="0.3"/>
  <cols>
    <col min="1" max="1" width="11.5546875" style="8"/>
    <col min="2" max="2" width="8.5546875" style="9" bestFit="1" customWidth="1"/>
    <col min="3" max="3" width="4.44140625" style="10" bestFit="1" customWidth="1"/>
    <col min="4" max="4" width="5.5546875" style="8" bestFit="1" customWidth="1"/>
    <col min="5" max="5" width="61.5546875" style="8" bestFit="1" customWidth="1"/>
    <col min="6" max="6" width="14.77734375" style="51" customWidth="1"/>
    <col min="7" max="7" width="18.44140625" style="51" customWidth="1"/>
    <col min="8" max="8" width="17.33203125" style="51" customWidth="1"/>
    <col min="9" max="16384" width="11.5546875" style="8"/>
  </cols>
  <sheetData>
    <row r="2" spans="2:8" ht="18" x14ac:dyDescent="0.3">
      <c r="B2" s="70" t="s">
        <v>426</v>
      </c>
      <c r="C2" s="70"/>
      <c r="D2" s="70"/>
      <c r="E2" s="70"/>
      <c r="F2" s="70"/>
      <c r="G2" s="70"/>
      <c r="H2" s="70"/>
    </row>
    <row r="3" spans="2:8" x14ac:dyDescent="0.3">
      <c r="F3" s="31"/>
      <c r="G3" s="31"/>
      <c r="H3" s="31"/>
    </row>
    <row r="4" spans="2:8" x14ac:dyDescent="0.3">
      <c r="E4" s="10" t="s">
        <v>147</v>
      </c>
      <c r="F4" s="31"/>
      <c r="G4" s="31"/>
      <c r="H4" s="31"/>
    </row>
    <row r="5" spans="2:8" x14ac:dyDescent="0.3">
      <c r="F5" s="32"/>
      <c r="G5" s="32"/>
      <c r="H5" s="32"/>
    </row>
    <row r="6" spans="2:8" ht="28.95" customHeight="1" x14ac:dyDescent="0.3">
      <c r="B6" s="71" t="s">
        <v>164</v>
      </c>
      <c r="C6" s="71"/>
      <c r="D6" s="71"/>
      <c r="E6" s="71"/>
      <c r="F6" s="71"/>
      <c r="G6" s="71"/>
      <c r="H6" s="71"/>
    </row>
    <row r="7" spans="2:8" s="11" customFormat="1" x14ac:dyDescent="0.3">
      <c r="B7" s="26" t="s">
        <v>138</v>
      </c>
      <c r="C7" s="44"/>
      <c r="D7" s="48"/>
      <c r="E7" s="45" t="s">
        <v>150</v>
      </c>
      <c r="F7" s="41" t="s">
        <v>397</v>
      </c>
      <c r="G7" s="41" t="s">
        <v>173</v>
      </c>
      <c r="H7" s="41" t="s">
        <v>174</v>
      </c>
    </row>
    <row r="8" spans="2:8" s="10" customFormat="1" ht="30" customHeight="1" x14ac:dyDescent="0.3">
      <c r="B8" s="27">
        <v>60</v>
      </c>
      <c r="C8" s="17"/>
      <c r="D8" s="17"/>
      <c r="E8" s="17" t="s">
        <v>153</v>
      </c>
      <c r="F8" s="43">
        <f>'RECAP DEPENSES PAR PROGRAMME'!I10</f>
        <v>0</v>
      </c>
      <c r="G8" s="43">
        <f>'RECAP DEPENSES PAR PROGRAMME'!M10</f>
        <v>0</v>
      </c>
      <c r="H8" s="43">
        <f>'RECAP DEPENSES PAR PROGRAMME'!Q10</f>
        <v>0</v>
      </c>
    </row>
    <row r="9" spans="2:8" s="10" customFormat="1" ht="30" customHeight="1" x14ac:dyDescent="0.3">
      <c r="B9" s="27">
        <v>61</v>
      </c>
      <c r="C9" s="17"/>
      <c r="D9" s="17"/>
      <c r="E9" s="17" t="s">
        <v>154</v>
      </c>
      <c r="F9" s="43">
        <f>'RECAP DEPENSES PAR PROGRAMME'!I29</f>
        <v>0</v>
      </c>
      <c r="G9" s="43">
        <f>'RECAP DEPENSES PAR PROGRAMME'!M29</f>
        <v>0</v>
      </c>
      <c r="H9" s="43">
        <f>'RECAP DEPENSES PAR PROGRAMME'!Q29</f>
        <v>0</v>
      </c>
    </row>
    <row r="10" spans="2:8" s="10" customFormat="1" ht="30" customHeight="1" x14ac:dyDescent="0.3">
      <c r="B10" s="27">
        <v>62</v>
      </c>
      <c r="C10" s="17"/>
      <c r="D10" s="17"/>
      <c r="E10" s="17" t="s">
        <v>155</v>
      </c>
      <c r="F10" s="43">
        <f>'RECAP DEPENSES PAR PROGRAMME'!I60</f>
        <v>0</v>
      </c>
      <c r="G10" s="43">
        <f>'RECAP DEPENSES PAR PROGRAMME'!M60</f>
        <v>0</v>
      </c>
      <c r="H10" s="43">
        <f>'RECAP DEPENSES PAR PROGRAMME'!Q60</f>
        <v>0</v>
      </c>
    </row>
    <row r="11" spans="2:8" s="10" customFormat="1" ht="30" customHeight="1" x14ac:dyDescent="0.3">
      <c r="B11" s="27">
        <v>63</v>
      </c>
      <c r="C11" s="17"/>
      <c r="D11" s="17"/>
      <c r="E11" s="17" t="s">
        <v>156</v>
      </c>
      <c r="F11" s="43">
        <f>'RECAP DEPENSES PAR PROGRAMME'!I112</f>
        <v>0</v>
      </c>
      <c r="G11" s="43">
        <f>'RECAP DEPENSES PAR PROGRAMME'!M112</f>
        <v>0</v>
      </c>
      <c r="H11" s="43">
        <f>'RECAP DEPENSES PAR PROGRAMME'!Q112</f>
        <v>0</v>
      </c>
    </row>
    <row r="12" spans="2:8" s="10" customFormat="1" ht="30" customHeight="1" x14ac:dyDescent="0.3">
      <c r="B12" s="27">
        <v>64</v>
      </c>
      <c r="C12" s="17"/>
      <c r="D12" s="17"/>
      <c r="E12" s="17" t="s">
        <v>157</v>
      </c>
      <c r="F12" s="43">
        <f>'RECAP DEPENSES PAR PROGRAMME'!I121</f>
        <v>0</v>
      </c>
      <c r="G12" s="43">
        <f>'RECAP DEPENSES PAR PROGRAMME'!M121</f>
        <v>0</v>
      </c>
      <c r="H12" s="43">
        <f>'RECAP DEPENSES PAR PROGRAMME'!Q121</f>
        <v>0</v>
      </c>
    </row>
    <row r="13" spans="2:8" s="10" customFormat="1" ht="30" customHeight="1" x14ac:dyDescent="0.3">
      <c r="B13" s="27">
        <v>65</v>
      </c>
      <c r="C13" s="17"/>
      <c r="D13" s="17"/>
      <c r="E13" s="17" t="s">
        <v>158</v>
      </c>
      <c r="F13" s="43">
        <f>'RECAP DEPENSES PAR PROGRAMME'!I132</f>
        <v>0</v>
      </c>
      <c r="G13" s="43">
        <f>'RECAP DEPENSES PAR PROGRAMME'!M132</f>
        <v>0</v>
      </c>
      <c r="H13" s="43">
        <f>'RECAP DEPENSES PAR PROGRAMME'!Q132</f>
        <v>0</v>
      </c>
    </row>
    <row r="14" spans="2:8" s="10" customFormat="1" ht="30" customHeight="1" x14ac:dyDescent="0.3">
      <c r="B14" s="27">
        <v>66</v>
      </c>
      <c r="C14" s="17"/>
      <c r="D14" s="17"/>
      <c r="E14" s="17" t="s">
        <v>159</v>
      </c>
      <c r="F14" s="43">
        <f>'RECAP DEPENSES PAR PROGRAMME'!I150</f>
        <v>0</v>
      </c>
      <c r="G14" s="43">
        <f>'RECAP DEPENSES PAR PROGRAMME'!M150</f>
        <v>0</v>
      </c>
      <c r="H14" s="43">
        <f>'RECAP DEPENSES PAR PROGRAMME'!Q150</f>
        <v>0</v>
      </c>
    </row>
    <row r="15" spans="2:8" s="10" customFormat="1" ht="30" customHeight="1" x14ac:dyDescent="0.3">
      <c r="B15" s="27">
        <v>67</v>
      </c>
      <c r="C15" s="17"/>
      <c r="D15" s="17"/>
      <c r="E15" s="17" t="s">
        <v>160</v>
      </c>
      <c r="F15" s="43">
        <f>'RECAP DEPENSES PAR PROGRAMME'!I165</f>
        <v>0</v>
      </c>
      <c r="G15" s="43">
        <f>'RECAP DEPENSES PAR PROGRAMME'!M165</f>
        <v>0</v>
      </c>
      <c r="H15" s="43">
        <f>'RECAP DEPENSES PAR PROGRAMME'!Q165</f>
        <v>0</v>
      </c>
    </row>
    <row r="16" spans="2:8" s="10" customFormat="1" ht="30" customHeight="1" x14ac:dyDescent="0.3">
      <c r="B16" s="29"/>
      <c r="C16" s="2"/>
      <c r="D16" s="2"/>
      <c r="E16" s="2" t="s">
        <v>162</v>
      </c>
      <c r="F16" s="38">
        <f>F8+F9+F10+F11+F12+F13+F14+F15</f>
        <v>0</v>
      </c>
      <c r="G16" s="38">
        <f>G8+G9+G10+G11+G12+G13+G14+G15</f>
        <v>0</v>
      </c>
      <c r="H16" s="38">
        <f>H8+H9+H10+H11+H12+H13+H14+H15</f>
        <v>0</v>
      </c>
    </row>
    <row r="17" spans="2:8" s="10" customFormat="1" ht="30" customHeight="1" x14ac:dyDescent="0.3">
      <c r="B17" s="27">
        <v>12</v>
      </c>
      <c r="C17" s="17"/>
      <c r="D17" s="17"/>
      <c r="E17" s="17" t="s">
        <v>161</v>
      </c>
      <c r="F17" s="43">
        <f>'RECAP DEPENSES PAR PROGRAMME'!I188</f>
        <v>0</v>
      </c>
      <c r="G17" s="43">
        <f>'RECAP DEPENSES PAR PROGRAMME'!M188</f>
        <v>0</v>
      </c>
      <c r="H17" s="43">
        <f>'RECAP DEPENSES PAR PROGRAMME'!Q188</f>
        <v>0</v>
      </c>
    </row>
    <row r="18" spans="2:8" s="10" customFormat="1" ht="30" customHeight="1" x14ac:dyDescent="0.3">
      <c r="B18" s="29"/>
      <c r="C18" s="2"/>
      <c r="D18" s="2"/>
      <c r="E18" s="2" t="s">
        <v>163</v>
      </c>
      <c r="F18" s="38">
        <f>SUM(F17)</f>
        <v>0</v>
      </c>
      <c r="G18" s="38">
        <f t="shared" ref="G18" si="0">SUM(G17)</f>
        <v>0</v>
      </c>
      <c r="H18" s="38">
        <f>SUM(H17)</f>
        <v>0</v>
      </c>
    </row>
    <row r="19" spans="2:8" s="10" customFormat="1" ht="30" customHeight="1" x14ac:dyDescent="0.3">
      <c r="B19" s="29"/>
      <c r="C19" s="2"/>
      <c r="D19" s="2"/>
      <c r="E19" s="2" t="s">
        <v>98</v>
      </c>
      <c r="F19" s="38">
        <f>F16+F18</f>
        <v>0</v>
      </c>
      <c r="G19" s="38">
        <f t="shared" ref="G19" si="1">G16+G18</f>
        <v>0</v>
      </c>
      <c r="H19" s="38">
        <f>H16+H18</f>
        <v>0</v>
      </c>
    </row>
    <row r="21" spans="2:8" ht="28.95" customHeight="1" x14ac:dyDescent="0.3">
      <c r="B21" s="71" t="s">
        <v>165</v>
      </c>
      <c r="C21" s="71"/>
      <c r="D21" s="71"/>
      <c r="E21" s="71"/>
      <c r="F21" s="71"/>
      <c r="G21" s="71"/>
      <c r="H21" s="71"/>
    </row>
    <row r="22" spans="2:8" s="11" customFormat="1" x14ac:dyDescent="0.3">
      <c r="B22" s="26" t="s">
        <v>138</v>
      </c>
      <c r="C22" s="46"/>
      <c r="D22" s="49"/>
      <c r="E22" s="47" t="s">
        <v>150</v>
      </c>
      <c r="F22" s="41" t="s">
        <v>397</v>
      </c>
      <c r="G22" s="41" t="s">
        <v>173</v>
      </c>
      <c r="H22" s="41" t="s">
        <v>174</v>
      </c>
    </row>
    <row r="23" spans="2:8" s="10" customFormat="1" ht="30" customHeight="1" x14ac:dyDescent="0.3">
      <c r="B23" s="27">
        <v>16</v>
      </c>
      <c r="C23" s="17"/>
      <c r="D23" s="17"/>
      <c r="E23" s="17" t="s">
        <v>166</v>
      </c>
      <c r="F23" s="43">
        <f>'RECAP DEPENSES PAR PROGRAMME'!I195</f>
        <v>0</v>
      </c>
      <c r="G23" s="43">
        <f>'RECAP DEPENSES PAR PROGRAMME'!M195</f>
        <v>0</v>
      </c>
      <c r="H23" s="43">
        <f>'RECAP DEPENSES PAR PROGRAMME'!Q195</f>
        <v>0</v>
      </c>
    </row>
    <row r="24" spans="2:8" s="10" customFormat="1" ht="30" customHeight="1" x14ac:dyDescent="0.3">
      <c r="B24" s="27">
        <v>20</v>
      </c>
      <c r="C24" s="17"/>
      <c r="D24" s="17"/>
      <c r="E24" s="17" t="s">
        <v>167</v>
      </c>
      <c r="F24" s="43">
        <f>'RECAP DEPENSES PAR PROGRAMME'!I209</f>
        <v>0</v>
      </c>
      <c r="G24" s="43">
        <f>'RECAP DEPENSES PAR PROGRAMME'!M209</f>
        <v>0</v>
      </c>
      <c r="H24" s="43">
        <f>'RECAP DEPENSES PAR PROGRAMME'!Q209</f>
        <v>0</v>
      </c>
    </row>
    <row r="25" spans="2:8" s="10" customFormat="1" ht="30" customHeight="1" x14ac:dyDescent="0.3">
      <c r="B25" s="27">
        <v>21</v>
      </c>
      <c r="C25" s="17"/>
      <c r="D25" s="17"/>
      <c r="E25" s="17" t="s">
        <v>168</v>
      </c>
      <c r="F25" s="43">
        <f>'RECAP DEPENSES PAR PROGRAMME'!I224</f>
        <v>0</v>
      </c>
      <c r="G25" s="43">
        <f>'RECAP DEPENSES PAR PROGRAMME'!M224</f>
        <v>0</v>
      </c>
      <c r="H25" s="43">
        <f>'RECAP DEPENSES PAR PROGRAMME'!Q224</f>
        <v>0</v>
      </c>
    </row>
    <row r="26" spans="2:8" s="10" customFormat="1" ht="30" customHeight="1" x14ac:dyDescent="0.3">
      <c r="B26" s="27"/>
      <c r="C26" s="17"/>
      <c r="D26" s="17"/>
      <c r="E26" s="2" t="s">
        <v>169</v>
      </c>
      <c r="F26" s="38">
        <f>F23+F24+F25</f>
        <v>0</v>
      </c>
      <c r="G26" s="38">
        <f>G23+G24+G25</f>
        <v>0</v>
      </c>
      <c r="H26" s="38">
        <f>H23+H24+H25</f>
        <v>0</v>
      </c>
    </row>
    <row r="27" spans="2:8" s="10" customFormat="1" ht="30" customHeight="1" x14ac:dyDescent="0.3">
      <c r="B27" s="27">
        <v>20</v>
      </c>
      <c r="C27" s="17"/>
      <c r="D27" s="17"/>
      <c r="E27" s="17" t="s">
        <v>167</v>
      </c>
      <c r="F27" s="43">
        <f>'RECAP DEPENSES PAR PROGRAMME'!I287</f>
        <v>0</v>
      </c>
      <c r="G27" s="43">
        <f>'RECAP DEPENSES PAR PROGRAMME'!M287</f>
        <v>0</v>
      </c>
      <c r="H27" s="43">
        <f>'RECAP DEPENSES PAR PROGRAMME'!Q287</f>
        <v>0</v>
      </c>
    </row>
    <row r="28" spans="2:8" s="10" customFormat="1" ht="30" customHeight="1" x14ac:dyDescent="0.3">
      <c r="B28" s="27">
        <v>21</v>
      </c>
      <c r="C28" s="17"/>
      <c r="D28" s="17"/>
      <c r="E28" s="17" t="s">
        <v>168</v>
      </c>
      <c r="F28" s="43">
        <f>'RECAP DEPENSES PAR PROGRAMME'!I288</f>
        <v>0</v>
      </c>
      <c r="G28" s="43">
        <f>'RECAP DEPENSES PAR PROGRAMME'!M288</f>
        <v>0</v>
      </c>
      <c r="H28" s="43">
        <f>'RECAP DEPENSES PAR PROGRAMME'!Q288</f>
        <v>0</v>
      </c>
    </row>
    <row r="29" spans="2:8" s="10" customFormat="1" ht="30" customHeight="1" x14ac:dyDescent="0.3">
      <c r="B29" s="27"/>
      <c r="C29" s="17"/>
      <c r="D29" s="17"/>
      <c r="E29" s="2" t="s">
        <v>170</v>
      </c>
      <c r="F29" s="38">
        <f>SUM(F27:F28)</f>
        <v>0</v>
      </c>
      <c r="G29" s="38">
        <f t="shared" ref="G29" si="2">SUM(G27:G28)</f>
        <v>0</v>
      </c>
      <c r="H29" s="38">
        <f>SUM(H27:H28)</f>
        <v>0</v>
      </c>
    </row>
    <row r="30" spans="2:8" s="10" customFormat="1" ht="30" customHeight="1" x14ac:dyDescent="0.3">
      <c r="B30" s="27"/>
      <c r="C30" s="17"/>
      <c r="D30" s="17"/>
      <c r="E30" s="2" t="s">
        <v>103</v>
      </c>
      <c r="F30" s="38">
        <f t="shared" ref="F30:G30" si="3">F26+F29</f>
        <v>0</v>
      </c>
      <c r="G30" s="38">
        <f t="shared" si="3"/>
        <v>0</v>
      </c>
      <c r="H30" s="38">
        <f>H26+H29</f>
        <v>0</v>
      </c>
    </row>
  </sheetData>
  <mergeCells count="3">
    <mergeCell ref="B2:H2"/>
    <mergeCell ref="B6:H6"/>
    <mergeCell ref="B21:H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826F5-D31A-4A6D-8E6D-3E3BE619F048}">
  <dimension ref="B2:K36"/>
  <sheetViews>
    <sheetView topLeftCell="B1" zoomScale="70" zoomScaleNormal="70" workbookViewId="0">
      <selection activeCell="J8" sqref="J8"/>
    </sheetView>
  </sheetViews>
  <sheetFormatPr baseColWidth="10" defaultColWidth="11.5546875" defaultRowHeight="14.4" x14ac:dyDescent="0.3"/>
  <cols>
    <col min="1" max="1" width="11.5546875" style="8"/>
    <col min="2" max="2" width="8.5546875" style="9" bestFit="1" customWidth="1"/>
    <col min="3" max="3" width="44.44140625" style="8" bestFit="1" customWidth="1"/>
    <col min="4" max="4" width="16.21875" style="8" bestFit="1" customWidth="1"/>
    <col min="5" max="5" width="13.5546875" style="8" customWidth="1"/>
    <col min="6" max="6" width="14.109375" style="8" bestFit="1" customWidth="1"/>
    <col min="7" max="7" width="8.5546875" style="10" bestFit="1" customWidth="1"/>
    <col min="8" max="8" width="44.44140625" style="8" bestFit="1" customWidth="1"/>
    <col min="9" max="9" width="18.44140625" style="8" customWidth="1"/>
    <col min="10" max="10" width="17.33203125" style="8" customWidth="1"/>
    <col min="11" max="11" width="17.6640625" style="8" bestFit="1" customWidth="1"/>
    <col min="12" max="16384" width="11.5546875" style="8"/>
  </cols>
  <sheetData>
    <row r="2" spans="2:11" s="11" customFormat="1" ht="30" customHeight="1" x14ac:dyDescent="0.3">
      <c r="B2" s="70" t="s">
        <v>403</v>
      </c>
      <c r="C2" s="70"/>
      <c r="D2" s="70"/>
      <c r="E2" s="70"/>
      <c r="F2" s="70"/>
      <c r="G2" s="70"/>
      <c r="H2" s="70"/>
      <c r="I2" s="70"/>
      <c r="J2" s="70"/>
      <c r="K2" s="70"/>
    </row>
    <row r="3" spans="2:11" x14ac:dyDescent="0.3">
      <c r="D3" s="31"/>
      <c r="E3" s="32"/>
      <c r="F3" s="32"/>
      <c r="G3" s="32"/>
      <c r="H3" s="31"/>
      <c r="I3" s="31"/>
      <c r="J3" s="31"/>
    </row>
    <row r="4" spans="2:11" x14ac:dyDescent="0.3">
      <c r="C4" s="10" t="s">
        <v>147</v>
      </c>
      <c r="D4" s="31"/>
      <c r="E4" s="31"/>
      <c r="F4" s="31"/>
      <c r="G4" s="32"/>
      <c r="H4" s="31"/>
      <c r="I4" s="31"/>
      <c r="J4" s="31"/>
    </row>
    <row r="5" spans="2:11" x14ac:dyDescent="0.3">
      <c r="C5" s="10"/>
      <c r="D5" s="32"/>
      <c r="E5" s="32"/>
      <c r="F5" s="32"/>
      <c r="G5" s="32"/>
      <c r="H5" s="32"/>
      <c r="I5" s="32"/>
      <c r="J5" s="32"/>
      <c r="K5" s="10"/>
    </row>
    <row r="6" spans="2:11" s="11" customFormat="1" ht="30" customHeight="1" x14ac:dyDescent="0.3">
      <c r="B6" s="54"/>
      <c r="C6" s="74" t="s">
        <v>398</v>
      </c>
      <c r="D6" s="74"/>
      <c r="E6" s="74"/>
      <c r="F6" s="74"/>
      <c r="G6" s="54"/>
      <c r="H6" s="74" t="s">
        <v>402</v>
      </c>
      <c r="I6" s="74"/>
      <c r="J6" s="74"/>
      <c r="K6" s="74"/>
    </row>
    <row r="7" spans="2:11" s="11" customFormat="1" ht="30" customHeight="1" x14ac:dyDescent="0.3">
      <c r="B7" s="47" t="s">
        <v>138</v>
      </c>
      <c r="C7" s="45" t="s">
        <v>150</v>
      </c>
      <c r="D7" s="41" t="s">
        <v>397</v>
      </c>
      <c r="E7" s="41" t="s">
        <v>173</v>
      </c>
      <c r="F7" s="41" t="s">
        <v>174</v>
      </c>
      <c r="G7" s="47" t="s">
        <v>138</v>
      </c>
      <c r="H7" s="45" t="s">
        <v>150</v>
      </c>
      <c r="I7" s="41" t="s">
        <v>416</v>
      </c>
      <c r="J7" s="41" t="s">
        <v>144</v>
      </c>
      <c r="K7" s="41" t="s">
        <v>145</v>
      </c>
    </row>
    <row r="8" spans="2:11" ht="30" customHeight="1" x14ac:dyDescent="0.3">
      <c r="B8" s="27">
        <v>60</v>
      </c>
      <c r="C8" s="3" t="s">
        <v>153</v>
      </c>
      <c r="D8" s="65">
        <f>'RECAPITULATIF DEPENSES'!F8</f>
        <v>0</v>
      </c>
      <c r="E8" s="65">
        <f>'RECAPITULATIF DEPENSES'!G8</f>
        <v>0</v>
      </c>
      <c r="F8" s="65">
        <f>D8-E8</f>
        <v>0</v>
      </c>
      <c r="G8" s="27">
        <v>70</v>
      </c>
      <c r="H8" s="3" t="s">
        <v>72</v>
      </c>
      <c r="I8" s="65">
        <f>'RECAPITULATIF RECETTES'!G8</f>
        <v>0</v>
      </c>
      <c r="J8" s="65">
        <f>'RECAPITULATIF RECETTES'!H8</f>
        <v>0</v>
      </c>
      <c r="K8" s="65">
        <f>'RECAPITULATIF RECETTES'!I8</f>
        <v>0</v>
      </c>
    </row>
    <row r="9" spans="2:11" ht="30" customHeight="1" x14ac:dyDescent="0.3">
      <c r="B9" s="27">
        <v>61</v>
      </c>
      <c r="C9" s="3" t="s">
        <v>154</v>
      </c>
      <c r="D9" s="65">
        <f>'RECAPITULATIF DEPENSES'!F9</f>
        <v>0</v>
      </c>
      <c r="E9" s="65">
        <f>'RECAPITULATIF DEPENSES'!G9</f>
        <v>0</v>
      </c>
      <c r="F9" s="65">
        <f t="shared" ref="F9:F16" si="0">D9-E9</f>
        <v>0</v>
      </c>
      <c r="G9" s="27">
        <v>71</v>
      </c>
      <c r="H9" s="3" t="s">
        <v>71</v>
      </c>
      <c r="I9" s="65">
        <f>'RECAPITULATIF RECETTES'!G9</f>
        <v>0</v>
      </c>
      <c r="J9" s="65">
        <f>'RECAPITULATIF RECETTES'!H9</f>
        <v>0</v>
      </c>
      <c r="K9" s="65">
        <f>'RECAPITULATIF RECETTES'!I9</f>
        <v>0</v>
      </c>
    </row>
    <row r="10" spans="2:11" ht="30" customHeight="1" x14ac:dyDescent="0.3">
      <c r="B10" s="27">
        <v>62</v>
      </c>
      <c r="C10" s="3" t="s">
        <v>155</v>
      </c>
      <c r="D10" s="65">
        <f>'RECAPITULATIF DEPENSES'!F10</f>
        <v>0</v>
      </c>
      <c r="E10" s="65">
        <f>'RECAPITULATIF DEPENSES'!G10</f>
        <v>0</v>
      </c>
      <c r="F10" s="65">
        <f t="shared" si="0"/>
        <v>0</v>
      </c>
      <c r="G10" s="27">
        <v>72</v>
      </c>
      <c r="H10" s="3" t="s">
        <v>60</v>
      </c>
      <c r="I10" s="65">
        <f>'RECAPITULATIF RECETTES'!G10</f>
        <v>0</v>
      </c>
      <c r="J10" s="65">
        <f>'RECAPITULATIF RECETTES'!H10</f>
        <v>0</v>
      </c>
      <c r="K10" s="65">
        <f>'RECAPITULATIF RECETTES'!I10</f>
        <v>0</v>
      </c>
    </row>
    <row r="11" spans="2:11" ht="30" customHeight="1" x14ac:dyDescent="0.3">
      <c r="B11" s="27">
        <v>63</v>
      </c>
      <c r="C11" s="3" t="s">
        <v>156</v>
      </c>
      <c r="D11" s="65">
        <f>'RECAPITULATIF DEPENSES'!F11</f>
        <v>0</v>
      </c>
      <c r="E11" s="65">
        <f>'RECAPITULATIF DEPENSES'!G11</f>
        <v>0</v>
      </c>
      <c r="F11" s="65">
        <f t="shared" si="0"/>
        <v>0</v>
      </c>
      <c r="G11" s="27">
        <v>74</v>
      </c>
      <c r="H11" s="3" t="s">
        <v>59</v>
      </c>
      <c r="I11" s="65">
        <f>'RECAPITULATIF RECETTES'!G11</f>
        <v>0</v>
      </c>
      <c r="J11" s="65">
        <f>'RECAPITULATIF RECETTES'!H11</f>
        <v>0</v>
      </c>
      <c r="K11" s="65">
        <f>'RECAPITULATIF RECETTES'!I11</f>
        <v>0</v>
      </c>
    </row>
    <row r="12" spans="2:11" ht="30" customHeight="1" x14ac:dyDescent="0.3">
      <c r="B12" s="27">
        <v>64</v>
      </c>
      <c r="C12" s="3" t="s">
        <v>157</v>
      </c>
      <c r="D12" s="65">
        <f>'RECAPITULATIF DEPENSES'!F12</f>
        <v>0</v>
      </c>
      <c r="E12" s="65">
        <f>'RECAPITULATIF DEPENSES'!G12</f>
        <v>0</v>
      </c>
      <c r="F12" s="65">
        <f t="shared" si="0"/>
        <v>0</v>
      </c>
      <c r="G12" s="27">
        <v>75</v>
      </c>
      <c r="H12" s="3" t="s">
        <v>50</v>
      </c>
      <c r="I12" s="65">
        <f>'RECAPITULATIF RECETTES'!G12</f>
        <v>0</v>
      </c>
      <c r="J12" s="65">
        <f>'RECAPITULATIF RECETTES'!H12</f>
        <v>0</v>
      </c>
      <c r="K12" s="65">
        <f>'RECAPITULATIF RECETTES'!I12</f>
        <v>0</v>
      </c>
    </row>
    <row r="13" spans="2:11" ht="30" customHeight="1" x14ac:dyDescent="0.3">
      <c r="B13" s="27">
        <v>65</v>
      </c>
      <c r="C13" s="3" t="s">
        <v>158</v>
      </c>
      <c r="D13" s="65">
        <f>'RECAPITULATIF DEPENSES'!F13</f>
        <v>0</v>
      </c>
      <c r="E13" s="65">
        <f>'RECAPITULATIF DEPENSES'!G13</f>
        <v>0</v>
      </c>
      <c r="F13" s="65">
        <f t="shared" si="0"/>
        <v>0</v>
      </c>
      <c r="G13" s="27">
        <v>76</v>
      </c>
      <c r="H13" s="3" t="s">
        <v>58</v>
      </c>
      <c r="I13" s="65">
        <f>'RECAPITULATIF RECETTES'!G13</f>
        <v>0</v>
      </c>
      <c r="J13" s="65">
        <f>'RECAPITULATIF RECETTES'!H13</f>
        <v>0</v>
      </c>
      <c r="K13" s="65">
        <f>'RECAPITULATIF RECETTES'!I13</f>
        <v>0</v>
      </c>
    </row>
    <row r="14" spans="2:11" ht="30" customHeight="1" x14ac:dyDescent="0.3">
      <c r="B14" s="27">
        <v>66</v>
      </c>
      <c r="C14" s="3" t="s">
        <v>159</v>
      </c>
      <c r="D14" s="65">
        <f>'RECAPITULATIF DEPENSES'!F14</f>
        <v>0</v>
      </c>
      <c r="E14" s="65">
        <f>'RECAPITULATIF DEPENSES'!G14</f>
        <v>0</v>
      </c>
      <c r="F14" s="65">
        <f t="shared" si="0"/>
        <v>0</v>
      </c>
      <c r="G14" s="27">
        <v>77</v>
      </c>
      <c r="H14" s="3" t="s">
        <v>70</v>
      </c>
      <c r="I14" s="65">
        <f>'RECAPITULATIF RECETTES'!G14</f>
        <v>0</v>
      </c>
      <c r="J14" s="65">
        <f>'RECAPITULATIF RECETTES'!H14</f>
        <v>0</v>
      </c>
      <c r="K14" s="65">
        <f>'RECAPITULATIF RECETTES'!I14</f>
        <v>0</v>
      </c>
    </row>
    <row r="15" spans="2:11" ht="30" customHeight="1" x14ac:dyDescent="0.3">
      <c r="B15" s="27">
        <v>67</v>
      </c>
      <c r="C15" s="3" t="s">
        <v>160</v>
      </c>
      <c r="D15" s="65">
        <f>'RECAPITULATIF DEPENSES'!F15</f>
        <v>0</v>
      </c>
      <c r="E15" s="65">
        <f>'RECAPITULATIF DEPENSES'!G15</f>
        <v>0</v>
      </c>
      <c r="F15" s="65">
        <f t="shared" si="0"/>
        <v>0</v>
      </c>
      <c r="G15" s="27"/>
      <c r="H15" s="3"/>
      <c r="I15" s="3"/>
      <c r="J15" s="3"/>
      <c r="K15" s="3"/>
    </row>
    <row r="16" spans="2:11" ht="30" customHeight="1" x14ac:dyDescent="0.3">
      <c r="B16" s="27">
        <v>119</v>
      </c>
      <c r="C16" s="3" t="s">
        <v>399</v>
      </c>
      <c r="D16" s="3"/>
      <c r="E16" s="3"/>
      <c r="F16" s="65">
        <f t="shared" si="0"/>
        <v>0</v>
      </c>
      <c r="G16" s="27">
        <v>110</v>
      </c>
      <c r="H16" s="3" t="s">
        <v>400</v>
      </c>
      <c r="I16" s="3"/>
      <c r="J16" s="3"/>
      <c r="K16" s="65">
        <f>'RECAPITULATIF RECETTES'!I16</f>
        <v>0</v>
      </c>
    </row>
    <row r="17" spans="2:11" ht="30" customHeight="1" x14ac:dyDescent="0.3">
      <c r="B17" s="29"/>
      <c r="C17" s="2" t="s">
        <v>162</v>
      </c>
      <c r="D17" s="66">
        <f>+D8+D9+D10+D11+D12+D13+D14+D15+D16</f>
        <v>0</v>
      </c>
      <c r="E17" s="66">
        <f t="shared" ref="E17:F17" si="1">+E8+E9+E10+E11+E12+E13+E14+E15+E16</f>
        <v>0</v>
      </c>
      <c r="F17" s="66">
        <f t="shared" si="1"/>
        <v>0</v>
      </c>
      <c r="G17" s="29"/>
      <c r="H17" s="2" t="s">
        <v>162</v>
      </c>
      <c r="I17" s="66">
        <f>+I8+I9+I10+I11+I12+I13++I14+I16</f>
        <v>0</v>
      </c>
      <c r="J17" s="66">
        <f t="shared" ref="J17:K17" si="2">+J8+J9+J10+J11+J12+J13++J14+J16</f>
        <v>0</v>
      </c>
      <c r="K17" s="66">
        <f t="shared" si="2"/>
        <v>0</v>
      </c>
    </row>
    <row r="18" spans="2:11" ht="30" customHeight="1" x14ac:dyDescent="0.3">
      <c r="B18" s="27">
        <v>12</v>
      </c>
      <c r="C18" s="3" t="s">
        <v>161</v>
      </c>
      <c r="D18" s="65"/>
      <c r="E18" s="65"/>
      <c r="F18" s="65"/>
      <c r="G18" s="27">
        <v>774</v>
      </c>
      <c r="H18" s="3" t="s">
        <v>401</v>
      </c>
      <c r="I18" s="3"/>
      <c r="J18" s="3"/>
      <c r="K18" s="3"/>
    </row>
    <row r="19" spans="2:11" ht="30" customHeight="1" x14ac:dyDescent="0.3">
      <c r="B19" s="29"/>
      <c r="C19" s="2" t="s">
        <v>163</v>
      </c>
      <c r="D19" s="67">
        <f>+D18</f>
        <v>0</v>
      </c>
      <c r="E19" s="67">
        <f t="shared" ref="E19:F19" si="3">+E18</f>
        <v>0</v>
      </c>
      <c r="F19" s="67">
        <f t="shared" si="3"/>
        <v>0</v>
      </c>
      <c r="G19" s="29"/>
      <c r="H19" s="2" t="s">
        <v>163</v>
      </c>
      <c r="I19" s="67">
        <f>+I18</f>
        <v>0</v>
      </c>
      <c r="J19" s="67">
        <f t="shared" ref="J19:K19" si="4">+J18</f>
        <v>0</v>
      </c>
      <c r="K19" s="67">
        <f t="shared" si="4"/>
        <v>0</v>
      </c>
    </row>
    <row r="20" spans="2:11" ht="30" customHeight="1" x14ac:dyDescent="0.3">
      <c r="B20" s="29"/>
      <c r="C20" s="2" t="s">
        <v>408</v>
      </c>
      <c r="D20" s="68">
        <f>+D17+D19</f>
        <v>0</v>
      </c>
      <c r="E20" s="4"/>
      <c r="F20" s="4"/>
      <c r="G20" s="29"/>
      <c r="H20" s="2" t="s">
        <v>409</v>
      </c>
      <c r="I20" s="68">
        <f>+I17+I19</f>
        <v>0</v>
      </c>
      <c r="J20" s="4"/>
      <c r="K20" s="4"/>
    </row>
    <row r="21" spans="2:11" ht="30" customHeight="1" x14ac:dyDescent="0.3">
      <c r="B21" s="29"/>
      <c r="C21" s="2" t="s">
        <v>407</v>
      </c>
      <c r="D21" s="68">
        <f>+I20-D20</f>
        <v>0</v>
      </c>
      <c r="E21" s="4"/>
      <c r="F21" s="4"/>
      <c r="G21" s="29"/>
      <c r="H21" s="2" t="s">
        <v>406</v>
      </c>
      <c r="I21" s="75"/>
      <c r="J21" s="75"/>
      <c r="K21" s="75"/>
    </row>
    <row r="22" spans="2:11" ht="30" customHeight="1" x14ac:dyDescent="0.3">
      <c r="G22" s="9"/>
    </row>
    <row r="23" spans="2:11" s="11" customFormat="1" ht="30" customHeight="1" x14ac:dyDescent="0.3">
      <c r="B23" s="54"/>
      <c r="C23" s="74" t="s">
        <v>19</v>
      </c>
      <c r="D23" s="74"/>
      <c r="E23" s="74"/>
      <c r="F23" s="74"/>
      <c r="G23" s="54"/>
      <c r="H23" s="74" t="s">
        <v>19</v>
      </c>
      <c r="I23" s="74"/>
      <c r="J23" s="74"/>
      <c r="K23" s="74"/>
    </row>
    <row r="24" spans="2:11" s="11" customFormat="1" ht="30" customHeight="1" x14ac:dyDescent="0.3">
      <c r="B24" s="47" t="s">
        <v>138</v>
      </c>
      <c r="C24" s="47" t="s">
        <v>148</v>
      </c>
      <c r="D24" s="41" t="s">
        <v>397</v>
      </c>
      <c r="E24" s="41" t="s">
        <v>173</v>
      </c>
      <c r="F24" s="41" t="s">
        <v>174</v>
      </c>
      <c r="G24" s="47" t="s">
        <v>138</v>
      </c>
      <c r="H24" s="47" t="s">
        <v>148</v>
      </c>
      <c r="I24" s="41" t="s">
        <v>416</v>
      </c>
      <c r="J24" s="41" t="s">
        <v>144</v>
      </c>
      <c r="K24" s="41" t="s">
        <v>145</v>
      </c>
    </row>
    <row r="25" spans="2:11" ht="30" customHeight="1" x14ac:dyDescent="0.3">
      <c r="B25" s="27">
        <v>16</v>
      </c>
      <c r="C25" s="3" t="s">
        <v>166</v>
      </c>
      <c r="D25" s="65">
        <f>'RECAPITULATIF DEPENSES'!F23</f>
        <v>0</v>
      </c>
      <c r="E25" s="65">
        <f>'RECAPITULATIF DEPENSES'!G23</f>
        <v>0</v>
      </c>
      <c r="F25" s="65">
        <f>+D25-E25</f>
        <v>0</v>
      </c>
      <c r="G25" s="27">
        <v>10</v>
      </c>
      <c r="H25" s="3" t="s">
        <v>106</v>
      </c>
      <c r="I25" s="65">
        <f>'RECAPITULATIF RECETTES'!G21</f>
        <v>0</v>
      </c>
      <c r="J25" s="65">
        <f>'RECAPITULATIF RECETTES'!H21</f>
        <v>0</v>
      </c>
      <c r="K25" s="65">
        <f>'RECAPITULATIF RECETTES'!I21</f>
        <v>0</v>
      </c>
    </row>
    <row r="26" spans="2:11" ht="30" customHeight="1" x14ac:dyDescent="0.3">
      <c r="B26" s="27">
        <v>20</v>
      </c>
      <c r="C26" s="3" t="s">
        <v>167</v>
      </c>
      <c r="D26" s="65">
        <f>'RECAPITULATIF DEPENSES'!F24</f>
        <v>0</v>
      </c>
      <c r="E26" s="65">
        <f>'RECAPITULATIF DEPENSES'!G24</f>
        <v>0</v>
      </c>
      <c r="F26" s="65">
        <f>+D26-E26</f>
        <v>0</v>
      </c>
      <c r="G26" s="27">
        <v>13</v>
      </c>
      <c r="H26" s="3" t="s">
        <v>99</v>
      </c>
      <c r="I26" s="65">
        <f>'RECAPITULATIF RECETTES'!G22</f>
        <v>0</v>
      </c>
      <c r="J26" s="65">
        <f>'RECAPITULATIF RECETTES'!H22</f>
        <v>0</v>
      </c>
      <c r="K26" s="65">
        <f>'RECAPITULATIF RECETTES'!I22</f>
        <v>0</v>
      </c>
    </row>
    <row r="27" spans="2:11" ht="30" customHeight="1" x14ac:dyDescent="0.3">
      <c r="B27" s="27">
        <v>21</v>
      </c>
      <c r="C27" s="3" t="s">
        <v>168</v>
      </c>
      <c r="D27" s="65">
        <f>'RECAPITULATIF DEPENSES'!F25</f>
        <v>0</v>
      </c>
      <c r="E27" s="65">
        <f>'RECAPITULATIF DEPENSES'!G25</f>
        <v>0</v>
      </c>
      <c r="F27" s="65">
        <f>+D27-E27</f>
        <v>0</v>
      </c>
      <c r="G27" s="27">
        <v>14</v>
      </c>
      <c r="H27" s="3" t="s">
        <v>104</v>
      </c>
      <c r="I27" s="65">
        <f>'RECAPITULATIF RECETTES'!G23</f>
        <v>0</v>
      </c>
      <c r="J27" s="65">
        <f>'RECAPITULATIF RECETTES'!H23</f>
        <v>0</v>
      </c>
      <c r="K27" s="65">
        <f>'RECAPITULATIF RECETTES'!I23</f>
        <v>0</v>
      </c>
    </row>
    <row r="28" spans="2:11" ht="30" customHeight="1" x14ac:dyDescent="0.3">
      <c r="B28" s="27"/>
      <c r="C28" s="3"/>
      <c r="D28" s="3"/>
      <c r="E28" s="3"/>
      <c r="F28" s="3"/>
      <c r="G28" s="27">
        <v>16</v>
      </c>
      <c r="H28" s="3" t="s">
        <v>166</v>
      </c>
      <c r="I28" s="65">
        <f>'RECAPITULATIF RECETTES'!G24</f>
        <v>0</v>
      </c>
      <c r="J28" s="65">
        <f>'RECAPITULATIF RECETTES'!H24</f>
        <v>0</v>
      </c>
      <c r="K28" s="65">
        <f>'RECAPITULATIF RECETTES'!I24</f>
        <v>0</v>
      </c>
    </row>
    <row r="29" spans="2:11" ht="30" customHeight="1" x14ac:dyDescent="0.3">
      <c r="B29" s="27">
        <v>119</v>
      </c>
      <c r="C29" s="3" t="s">
        <v>399</v>
      </c>
      <c r="D29" s="3"/>
      <c r="E29" s="3"/>
      <c r="F29" s="65">
        <f>+D29-E29</f>
        <v>0</v>
      </c>
      <c r="G29" s="27">
        <v>110</v>
      </c>
      <c r="H29" s="3" t="s">
        <v>400</v>
      </c>
      <c r="I29" s="3"/>
      <c r="J29" s="3"/>
      <c r="K29" s="3"/>
    </row>
    <row r="30" spans="2:11" ht="30" customHeight="1" x14ac:dyDescent="0.3">
      <c r="B30" s="29"/>
      <c r="C30" s="2" t="s">
        <v>169</v>
      </c>
      <c r="D30" s="68">
        <f>D25+D26+D27+D29</f>
        <v>0</v>
      </c>
      <c r="E30" s="68">
        <f t="shared" ref="E30" si="5">E25+E26+E27+E29</f>
        <v>0</v>
      </c>
      <c r="F30" s="68">
        <f>F25+F26+F27+F29</f>
        <v>0</v>
      </c>
      <c r="G30" s="29"/>
      <c r="H30" s="2" t="s">
        <v>169</v>
      </c>
      <c r="I30" s="68">
        <f>+I25+I26+I27+I28+I29</f>
        <v>0</v>
      </c>
      <c r="J30" s="68">
        <f t="shared" ref="J30:K30" si="6">+J25+J26+J27+J28+J29</f>
        <v>0</v>
      </c>
      <c r="K30" s="68">
        <f t="shared" si="6"/>
        <v>0</v>
      </c>
    </row>
    <row r="31" spans="2:11" ht="30" customHeight="1" x14ac:dyDescent="0.3">
      <c r="B31" s="27">
        <v>20</v>
      </c>
      <c r="C31" s="3" t="s">
        <v>167</v>
      </c>
      <c r="D31" s="65">
        <f>+'RECAPITULATIF DEPENSES'!F27</f>
        <v>0</v>
      </c>
      <c r="E31" s="65">
        <f>+'RECAPITULATIF DEPENSES'!G27</f>
        <v>0</v>
      </c>
      <c r="F31" s="69">
        <f>D31-E31</f>
        <v>0</v>
      </c>
      <c r="G31" s="27">
        <v>1012</v>
      </c>
      <c r="H31" s="3" t="s">
        <v>404</v>
      </c>
      <c r="I31" s="65">
        <f>'RECAPITULATIF RECETTES'!G26</f>
        <v>0</v>
      </c>
      <c r="J31" s="65">
        <f>'RECAPITULATIF RECETTES'!H26</f>
        <v>0</v>
      </c>
      <c r="K31" s="65">
        <f>'RECAPITULATIF RECETTES'!I26</f>
        <v>0</v>
      </c>
    </row>
    <row r="32" spans="2:11" ht="30" customHeight="1" x14ac:dyDescent="0.3">
      <c r="B32" s="27">
        <v>21</v>
      </c>
      <c r="C32" s="3" t="s">
        <v>168</v>
      </c>
      <c r="D32" s="65">
        <f>+'RECAPITULATIF DEPENSES'!F28</f>
        <v>0</v>
      </c>
      <c r="E32" s="65">
        <f>+'RECAPITULATIF DEPENSES'!G28</f>
        <v>0</v>
      </c>
      <c r="F32" s="69">
        <f>D32-E32</f>
        <v>0</v>
      </c>
      <c r="G32" s="27">
        <v>1064</v>
      </c>
      <c r="H32" s="3" t="s">
        <v>405</v>
      </c>
      <c r="I32" s="3"/>
      <c r="J32" s="3"/>
      <c r="K32" s="3"/>
    </row>
    <row r="33" spans="2:11" ht="30" customHeight="1" x14ac:dyDescent="0.3">
      <c r="B33" s="29"/>
      <c r="C33" s="2" t="s">
        <v>170</v>
      </c>
      <c r="D33" s="68">
        <f>D31+D32</f>
        <v>0</v>
      </c>
      <c r="E33" s="68">
        <f>E31+E32</f>
        <v>0</v>
      </c>
      <c r="F33" s="68">
        <f>F31+F32</f>
        <v>0</v>
      </c>
      <c r="G33" s="29"/>
      <c r="H33" s="2" t="s">
        <v>170</v>
      </c>
      <c r="I33" s="68">
        <f>I31+I32</f>
        <v>0</v>
      </c>
      <c r="J33" s="68">
        <f t="shared" ref="J33:K33" si="7">J31+J32</f>
        <v>0</v>
      </c>
      <c r="K33" s="68">
        <f t="shared" si="7"/>
        <v>0</v>
      </c>
    </row>
    <row r="34" spans="2:11" ht="30" customHeight="1" x14ac:dyDescent="0.3">
      <c r="B34" s="29"/>
      <c r="C34" s="2" t="s">
        <v>410</v>
      </c>
      <c r="D34" s="68">
        <f>D30+D33</f>
        <v>0</v>
      </c>
      <c r="E34" s="68">
        <f t="shared" ref="E34" si="8">E30+E33</f>
        <v>0</v>
      </c>
      <c r="F34" s="68">
        <f>F30+F33</f>
        <v>0</v>
      </c>
      <c r="G34" s="29"/>
      <c r="H34" s="2" t="s">
        <v>411</v>
      </c>
      <c r="I34" s="68">
        <f>+I30+I33</f>
        <v>0</v>
      </c>
      <c r="J34" s="68">
        <f t="shared" ref="J34:K34" si="9">+J30+J33</f>
        <v>0</v>
      </c>
      <c r="K34" s="68">
        <f t="shared" si="9"/>
        <v>0</v>
      </c>
    </row>
    <row r="35" spans="2:11" ht="30" customHeight="1" x14ac:dyDescent="0.3">
      <c r="B35" s="29"/>
      <c r="C35" s="2" t="s">
        <v>412</v>
      </c>
      <c r="D35" s="68">
        <f>I34-D34</f>
        <v>0</v>
      </c>
      <c r="E35" s="4"/>
      <c r="F35" s="4"/>
      <c r="G35" s="29"/>
      <c r="H35" s="2" t="s">
        <v>413</v>
      </c>
      <c r="I35" s="75"/>
      <c r="J35" s="75"/>
      <c r="K35" s="75"/>
    </row>
    <row r="36" spans="2:11" x14ac:dyDescent="0.3">
      <c r="G36" s="9"/>
    </row>
  </sheetData>
  <mergeCells count="7">
    <mergeCell ref="C23:F23"/>
    <mergeCell ref="B2:K2"/>
    <mergeCell ref="I21:K21"/>
    <mergeCell ref="I35:K35"/>
    <mergeCell ref="C6:F6"/>
    <mergeCell ref="H6:K6"/>
    <mergeCell ref="H23:K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RECETTES</vt:lpstr>
      <vt:lpstr>RECAPITULATIF RECETTES</vt:lpstr>
      <vt:lpstr>DEPENSES PROGRAMME I</vt:lpstr>
      <vt:lpstr>DEPENSES PROGRAMME II</vt:lpstr>
      <vt:lpstr>DEPENSES PROGRAMME III</vt:lpstr>
      <vt:lpstr>RECAP DEPENSES PAR PROGRAMME</vt:lpstr>
      <vt:lpstr>RECAPITULATIF DEPENSES</vt:lpstr>
      <vt:lpstr>EQUILIBRE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Andriaminah</dc:creator>
  <cp:lastModifiedBy>Hasina Valéry Ramaherison (TI MG)</cp:lastModifiedBy>
  <dcterms:created xsi:type="dcterms:W3CDTF">2015-06-05T18:19:34Z</dcterms:created>
  <dcterms:modified xsi:type="dcterms:W3CDTF">2026-03-13T12:54:31Z</dcterms:modified>
</cp:coreProperties>
</file>