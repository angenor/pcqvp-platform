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mc:AlternateContent xmlns:mc="http://schemas.openxmlformats.org/markup-compatibility/2006">
    <mc:Choice Requires="x15">
      <x15ac:absPath xmlns:x15ac="http://schemas.microsoft.com/office/spreadsheetml/2010/11/ac" url="https://transparencyinternational-my.sharepoint.com/personal/vramaherison_transparency_mg/Documents/TI-IM_CP_MINES/2. Projets Miniers_TIMG/2.11. NORAD/5. Activités Année 3/2. Activités/4. Plateforme/0. TdR/CA Andrafiabe 2023/"/>
    </mc:Choice>
  </mc:AlternateContent>
  <xr:revisionPtr revIDLastSave="63" documentId="11_0B4FA0396417F79DC2393EFFB3E0A75B1DAD9FAB" xr6:coauthVersionLast="47" xr6:coauthVersionMax="47" xr10:uidLastSave="{2C544FD1-138C-4E09-86F0-72201C6FADA4}"/>
  <bookViews>
    <workbookView xWindow="0" yWindow="0" windowWidth="11520" windowHeight="12360" firstSheet="6" activeTab="7" xr2:uid="{00000000-000D-0000-FFFF-FFFF00000000}"/>
  </bookViews>
  <sheets>
    <sheet name="RECETTE" sheetId="1" r:id="rId1"/>
    <sheet name="RECAP RECETTE " sheetId="5" r:id="rId2"/>
    <sheet name="DEP PROGRAM I" sheetId="2" r:id="rId3"/>
    <sheet name="DEP PROGRAM II" sheetId="9" r:id="rId4"/>
    <sheet name="DEP PROGRAM III" sheetId="10" r:id="rId5"/>
    <sheet name="RECAP DEP" sheetId="4" r:id="rId6"/>
    <sheet name="RECAP DEP (2)" sheetId="6" r:id="rId7"/>
    <sheet name="EQUILIBRE" sheetId="11" r:id="rId8"/>
    <sheet name="ANNEXE 2" sheetId="12" r:id="rId9"/>
    <sheet name="ANNEXE 4" sheetId="13" r:id="rId10"/>
    <sheet name="Feuil1" sheetId="15" r:id="rId11"/>
    <sheet name="ANNEXE 3" sheetId="14" r:id="rId12"/>
  </sheets>
  <definedNames>
    <definedName name="_xlnm.Print_Area" localSheetId="7">EQUILIBRE!$A$1:$L$45</definedName>
    <definedName name="_xlnm.Print_Area" localSheetId="6">'RECAP DEP (2)'!$A$1:$G$27</definedName>
    <definedName name="_xlnm.Print_Area" localSheetId="1">'RECAP RECETTE '!$A$1:$H$24</definedName>
    <definedName name="_xlnm.Print_Area" localSheetId="0">RECETTE!$A$1:$L$49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0" i="11" l="1"/>
  <c r="C18" i="11"/>
  <c r="J17" i="11"/>
  <c r="H17" i="11"/>
  <c r="J16" i="11"/>
  <c r="E16" i="11"/>
  <c r="D17" i="11"/>
  <c r="C17" i="11"/>
  <c r="C20" i="11"/>
  <c r="G14" i="4"/>
  <c r="G36" i="4" s="1"/>
  <c r="G38" i="4" s="1"/>
  <c r="G6" i="4"/>
  <c r="D6" i="4"/>
  <c r="F6" i="4"/>
  <c r="D14" i="5"/>
  <c r="D12" i="5"/>
  <c r="J20" i="1"/>
  <c r="K21" i="2"/>
  <c r="K6" i="2"/>
  <c r="K5" i="2"/>
  <c r="K34" i="1"/>
  <c r="J37" i="1"/>
  <c r="J35" i="1"/>
  <c r="J13" i="1"/>
  <c r="J9" i="1"/>
  <c r="J7" i="1"/>
  <c r="J6" i="1"/>
  <c r="D49" i="1"/>
  <c r="C21" i="11"/>
  <c r="I32" i="4"/>
  <c r="J10" i="1"/>
  <c r="K6" i="1"/>
  <c r="D23" i="9"/>
  <c r="K49" i="1"/>
  <c r="I8" i="1"/>
  <c r="E40" i="1"/>
  <c r="D45" i="1"/>
  <c r="D37" i="1"/>
  <c r="D35" i="1"/>
  <c r="K7" i="1"/>
  <c r="C33" i="11"/>
  <c r="N30" i="4"/>
  <c r="N29" i="4"/>
  <c r="M29" i="4"/>
  <c r="L17" i="9"/>
  <c r="L18" i="9"/>
  <c r="L19" i="9"/>
  <c r="L20" i="9"/>
  <c r="L21" i="9"/>
  <c r="L22" i="9"/>
  <c r="L15" i="9"/>
  <c r="L16" i="9"/>
  <c r="L25" i="9"/>
  <c r="L24" i="9"/>
  <c r="L27" i="9"/>
  <c r="L28" i="9"/>
  <c r="L35" i="9"/>
  <c r="L32" i="9"/>
  <c r="L33" i="9"/>
  <c r="L34" i="9"/>
  <c r="E52" i="9"/>
  <c r="F52" i="9"/>
  <c r="G52" i="9"/>
  <c r="H52" i="9"/>
  <c r="I52" i="9"/>
  <c r="J52" i="9"/>
  <c r="E37" i="9"/>
  <c r="F37" i="9"/>
  <c r="G37" i="9"/>
  <c r="H37" i="9"/>
  <c r="I37" i="9"/>
  <c r="J37" i="9"/>
  <c r="E23" i="9"/>
  <c r="F23" i="9"/>
  <c r="G23" i="9"/>
  <c r="H23" i="9"/>
  <c r="I23" i="9"/>
  <c r="J23" i="9"/>
  <c r="E14" i="9"/>
  <c r="F14" i="9"/>
  <c r="G14" i="9"/>
  <c r="H14" i="9"/>
  <c r="I14" i="9"/>
  <c r="J14" i="9"/>
  <c r="E5" i="9"/>
  <c r="F5" i="9"/>
  <c r="G5" i="9"/>
  <c r="H5" i="9"/>
  <c r="I5" i="9"/>
  <c r="J5" i="9"/>
  <c r="L25" i="2"/>
  <c r="D52" i="9"/>
  <c r="D14" i="9"/>
  <c r="H22" i="1"/>
  <c r="I22" i="1"/>
  <c r="E8" i="1"/>
  <c r="F8" i="1"/>
  <c r="G8" i="1"/>
  <c r="H8" i="1"/>
  <c r="E20" i="1"/>
  <c r="F20" i="1"/>
  <c r="G20" i="1"/>
  <c r="H20" i="1"/>
  <c r="I20" i="1"/>
  <c r="D20" i="1"/>
  <c r="D8" i="1"/>
  <c r="L6" i="9"/>
  <c r="L7" i="9"/>
  <c r="L31" i="9"/>
  <c r="L38" i="9"/>
  <c r="L67" i="9"/>
  <c r="L53" i="9"/>
  <c r="L56" i="9"/>
  <c r="L57" i="9"/>
  <c r="L60" i="9"/>
  <c r="L61" i="9"/>
  <c r="L62" i="9"/>
  <c r="L63" i="9"/>
  <c r="L66" i="9"/>
  <c r="L47" i="2"/>
  <c r="L48" i="2"/>
  <c r="L43" i="2"/>
  <c r="L44" i="2"/>
  <c r="L45" i="2"/>
  <c r="L46" i="2"/>
  <c r="L29" i="2"/>
  <c r="L27" i="2"/>
  <c r="L22" i="2"/>
  <c r="L23" i="2"/>
  <c r="L24" i="2"/>
  <c r="L26" i="2"/>
  <c r="L20" i="2"/>
  <c r="L15" i="2"/>
  <c r="L16" i="2"/>
  <c r="L17" i="2"/>
  <c r="L12" i="2"/>
  <c r="L8" i="2"/>
  <c r="L6" i="2"/>
  <c r="L7" i="2"/>
  <c r="L29" i="9"/>
  <c r="L26" i="9"/>
  <c r="L8" i="9"/>
  <c r="L9" i="9"/>
  <c r="L10" i="9"/>
  <c r="L11" i="9"/>
  <c r="L12" i="9"/>
  <c r="L30" i="10"/>
  <c r="I32" i="11"/>
  <c r="H32" i="11"/>
  <c r="D32" i="11"/>
  <c r="D33" i="11"/>
  <c r="C32" i="11"/>
  <c r="J31" i="11"/>
  <c r="E31" i="11"/>
  <c r="E30" i="11"/>
  <c r="E32" i="11"/>
  <c r="I29" i="11"/>
  <c r="I33" i="11"/>
  <c r="H29" i="11"/>
  <c r="H33" i="11"/>
  <c r="D29" i="11"/>
  <c r="C29" i="11"/>
  <c r="J28" i="11"/>
  <c r="E28" i="11"/>
  <c r="J27" i="11"/>
  <c r="E27" i="11"/>
  <c r="E29" i="11"/>
  <c r="J26" i="11"/>
  <c r="E25" i="11"/>
  <c r="J24" i="11"/>
  <c r="I17" i="11"/>
  <c r="I20" i="11"/>
  <c r="J15" i="11"/>
  <c r="E15" i="11"/>
  <c r="J14" i="11"/>
  <c r="E14" i="11"/>
  <c r="J13" i="11"/>
  <c r="E13" i="11"/>
  <c r="J12" i="11"/>
  <c r="E11" i="11"/>
  <c r="J10" i="11"/>
  <c r="E10" i="11"/>
  <c r="J9" i="11"/>
  <c r="E9" i="11"/>
  <c r="J8" i="11"/>
  <c r="E8" i="11"/>
  <c r="C34" i="11"/>
  <c r="J29" i="11"/>
  <c r="E33" i="11"/>
  <c r="J33" i="11"/>
  <c r="E17" i="11"/>
  <c r="L31" i="4"/>
  <c r="I21" i="4"/>
  <c r="J21" i="4"/>
  <c r="H21" i="4"/>
  <c r="F21" i="4"/>
  <c r="E21" i="4"/>
  <c r="D21" i="4"/>
  <c r="E11" i="6"/>
  <c r="D11" i="6"/>
  <c r="G21" i="4"/>
  <c r="M46" i="4"/>
  <c r="N46" i="4"/>
  <c r="L46" i="4"/>
  <c r="I46" i="4"/>
  <c r="J46" i="4"/>
  <c r="H46" i="4"/>
  <c r="E46" i="4"/>
  <c r="F46" i="4"/>
  <c r="D46" i="4"/>
  <c r="N25" i="4"/>
  <c r="M25" i="4"/>
  <c r="L25" i="4"/>
  <c r="N32" i="4"/>
  <c r="N16" i="4"/>
  <c r="N17" i="4"/>
  <c r="N18" i="4"/>
  <c r="N19" i="4"/>
  <c r="N20" i="4"/>
  <c r="N9" i="4"/>
  <c r="N10" i="4"/>
  <c r="N11" i="4"/>
  <c r="N12" i="4"/>
  <c r="N13" i="4"/>
  <c r="M33" i="4"/>
  <c r="N26" i="4"/>
  <c r="N27" i="4"/>
  <c r="N28" i="4"/>
  <c r="M26" i="4"/>
  <c r="M27" i="4"/>
  <c r="M28" i="4"/>
  <c r="M20" i="4"/>
  <c r="M22" i="4"/>
  <c r="M23" i="4"/>
  <c r="M24" i="4"/>
  <c r="L33" i="4"/>
  <c r="L32" i="4"/>
  <c r="L22" i="4"/>
  <c r="L23" i="4"/>
  <c r="L24" i="4"/>
  <c r="L26" i="4"/>
  <c r="L27" i="4"/>
  <c r="L28" i="4"/>
  <c r="E32" i="4"/>
  <c r="F32" i="4"/>
  <c r="D32" i="4"/>
  <c r="J32" i="4"/>
  <c r="H32" i="4"/>
  <c r="I14" i="4"/>
  <c r="J14" i="4"/>
  <c r="L19" i="4"/>
  <c r="L20" i="4"/>
  <c r="H14" i="4"/>
  <c r="L9" i="4"/>
  <c r="L10" i="4"/>
  <c r="E14" i="4"/>
  <c r="F14" i="4"/>
  <c r="D14" i="4"/>
  <c r="H28" i="2"/>
  <c r="I28" i="2"/>
  <c r="J28" i="2"/>
  <c r="L21" i="4"/>
  <c r="M21" i="4"/>
  <c r="G32" i="4"/>
  <c r="K14" i="4"/>
  <c r="O32" i="4"/>
  <c r="K32" i="4"/>
  <c r="M32" i="4"/>
  <c r="L50" i="10"/>
  <c r="L51" i="10"/>
  <c r="E48" i="10"/>
  <c r="F48" i="10"/>
  <c r="G48" i="10"/>
  <c r="H48" i="10"/>
  <c r="I48" i="10"/>
  <c r="J48" i="10"/>
  <c r="K48" i="10"/>
  <c r="D48" i="10"/>
  <c r="F33" i="10"/>
  <c r="D37" i="9"/>
  <c r="E14" i="10"/>
  <c r="F14" i="10"/>
  <c r="G14" i="10"/>
  <c r="H14" i="10"/>
  <c r="I14" i="10"/>
  <c r="J14" i="10"/>
  <c r="D14" i="10"/>
  <c r="K63" i="10"/>
  <c r="J63" i="10"/>
  <c r="I63" i="10"/>
  <c r="H63" i="10"/>
  <c r="G63" i="10"/>
  <c r="F63" i="10"/>
  <c r="E63" i="10"/>
  <c r="D63" i="10"/>
  <c r="K46" i="10"/>
  <c r="K45" i="10"/>
  <c r="J45" i="10"/>
  <c r="I45" i="10"/>
  <c r="H45" i="10"/>
  <c r="G45" i="10"/>
  <c r="F45" i="10"/>
  <c r="E45" i="10"/>
  <c r="D45" i="10"/>
  <c r="K43" i="10"/>
  <c r="J43" i="10"/>
  <c r="I43" i="10"/>
  <c r="I60" i="10"/>
  <c r="H43" i="10"/>
  <c r="G43" i="10"/>
  <c r="F43" i="10"/>
  <c r="E43" i="10"/>
  <c r="D43" i="10"/>
  <c r="K36" i="10"/>
  <c r="K35" i="10"/>
  <c r="J35" i="10"/>
  <c r="I35" i="10"/>
  <c r="H35" i="10"/>
  <c r="G35" i="10"/>
  <c r="F35" i="10"/>
  <c r="E35" i="10"/>
  <c r="D35" i="10"/>
  <c r="K33" i="10"/>
  <c r="J33" i="10"/>
  <c r="I33" i="10"/>
  <c r="H33" i="10"/>
  <c r="G33" i="10"/>
  <c r="E33" i="10"/>
  <c r="D33" i="10"/>
  <c r="L28" i="10"/>
  <c r="K28" i="10"/>
  <c r="K26" i="10"/>
  <c r="L25" i="10"/>
  <c r="K25" i="10"/>
  <c r="J22" i="10"/>
  <c r="I22" i="10"/>
  <c r="H22" i="10"/>
  <c r="G22" i="10"/>
  <c r="F22" i="10"/>
  <c r="E22" i="10"/>
  <c r="D22" i="10"/>
  <c r="K18" i="10"/>
  <c r="K15" i="10"/>
  <c r="K13" i="10"/>
  <c r="K12" i="10"/>
  <c r="K11" i="10"/>
  <c r="K10" i="10"/>
  <c r="K7" i="10"/>
  <c r="K6" i="10"/>
  <c r="J5" i="10"/>
  <c r="I5" i="10"/>
  <c r="H5" i="10"/>
  <c r="G5" i="10"/>
  <c r="F5" i="10"/>
  <c r="E5" i="10"/>
  <c r="D5" i="10"/>
  <c r="K52" i="9"/>
  <c r="E49" i="9"/>
  <c r="F49" i="9"/>
  <c r="G49" i="9"/>
  <c r="H49" i="9"/>
  <c r="I49" i="9"/>
  <c r="J49" i="9"/>
  <c r="D49" i="9"/>
  <c r="L37" i="9"/>
  <c r="K37" i="9"/>
  <c r="K72" i="9"/>
  <c r="J72" i="9"/>
  <c r="I72" i="9"/>
  <c r="H72" i="9"/>
  <c r="G72" i="9"/>
  <c r="F72" i="9"/>
  <c r="E72" i="9"/>
  <c r="D72" i="9"/>
  <c r="L50" i="9"/>
  <c r="K50" i="9"/>
  <c r="K49" i="9"/>
  <c r="K48" i="9"/>
  <c r="K47" i="9"/>
  <c r="J47" i="9"/>
  <c r="I47" i="9"/>
  <c r="I69" i="9"/>
  <c r="H47" i="9"/>
  <c r="G47" i="9"/>
  <c r="G69" i="9"/>
  <c r="F47" i="9"/>
  <c r="E47" i="9"/>
  <c r="E69" i="9"/>
  <c r="E73" i="9"/>
  <c r="D47" i="9"/>
  <c r="K40" i="9"/>
  <c r="K39" i="9"/>
  <c r="J39" i="9"/>
  <c r="J41" i="9"/>
  <c r="I39" i="9"/>
  <c r="I41" i="9"/>
  <c r="H39" i="9"/>
  <c r="H41" i="9"/>
  <c r="G39" i="9"/>
  <c r="G41" i="9"/>
  <c r="F39" i="9"/>
  <c r="F41" i="9"/>
  <c r="E39" i="9"/>
  <c r="E41" i="9"/>
  <c r="D39" i="9"/>
  <c r="K31" i="9"/>
  <c r="K29" i="9"/>
  <c r="K27" i="9"/>
  <c r="K19" i="9"/>
  <c r="K18" i="9"/>
  <c r="K17" i="9"/>
  <c r="K15" i="9"/>
  <c r="K12" i="9"/>
  <c r="K11" i="9"/>
  <c r="K10" i="9"/>
  <c r="K7" i="9"/>
  <c r="K6" i="9"/>
  <c r="D5" i="9"/>
  <c r="E42" i="2"/>
  <c r="F42" i="2"/>
  <c r="G42" i="2"/>
  <c r="H42" i="2"/>
  <c r="I42" i="2"/>
  <c r="J42" i="2"/>
  <c r="K42" i="2"/>
  <c r="D42" i="2"/>
  <c r="E28" i="2"/>
  <c r="F28" i="2"/>
  <c r="G28" i="2"/>
  <c r="L28" i="2"/>
  <c r="D28" i="2"/>
  <c r="I21" i="2"/>
  <c r="J21" i="2"/>
  <c r="H21" i="2"/>
  <c r="E21" i="2"/>
  <c r="F21" i="2"/>
  <c r="G21" i="2"/>
  <c r="D21" i="2"/>
  <c r="E14" i="2"/>
  <c r="F14" i="2"/>
  <c r="G14" i="2"/>
  <c r="H14" i="2"/>
  <c r="I14" i="2"/>
  <c r="J14" i="2"/>
  <c r="D14" i="2"/>
  <c r="L19" i="2"/>
  <c r="H6" i="1"/>
  <c r="I6" i="1"/>
  <c r="E22" i="1"/>
  <c r="F22" i="1"/>
  <c r="G22" i="1"/>
  <c r="I13" i="1"/>
  <c r="H13" i="1"/>
  <c r="G13" i="1"/>
  <c r="F13" i="1"/>
  <c r="E13" i="1"/>
  <c r="D13" i="1"/>
  <c r="F69" i="9"/>
  <c r="F73" i="9"/>
  <c r="G73" i="9"/>
  <c r="H69" i="9"/>
  <c r="H73" i="9"/>
  <c r="I73" i="9"/>
  <c r="J69" i="9"/>
  <c r="J73" i="9"/>
  <c r="E60" i="10"/>
  <c r="E64" i="10"/>
  <c r="L42" i="2"/>
  <c r="L21" i="2"/>
  <c r="L5" i="9"/>
  <c r="L23" i="9"/>
  <c r="J60" i="10"/>
  <c r="J64" i="10"/>
  <c r="H60" i="10"/>
  <c r="H64" i="10"/>
  <c r="F60" i="10"/>
  <c r="F64" i="10"/>
  <c r="G64" i="10"/>
  <c r="K60" i="10"/>
  <c r="K64" i="10"/>
  <c r="E37" i="10"/>
  <c r="E39" i="10"/>
  <c r="D64" i="10"/>
  <c r="F37" i="10"/>
  <c r="F39" i="10"/>
  <c r="K22" i="10"/>
  <c r="K14" i="10"/>
  <c r="D37" i="10"/>
  <c r="D39" i="10"/>
  <c r="H37" i="10"/>
  <c r="H39" i="10"/>
  <c r="I37" i="10"/>
  <c r="G37" i="10"/>
  <c r="G39" i="10"/>
  <c r="J37" i="10"/>
  <c r="J39" i="10"/>
  <c r="K5" i="10"/>
  <c r="I64" i="10"/>
  <c r="L52" i="9"/>
  <c r="D69" i="9"/>
  <c r="D73" i="9"/>
  <c r="K5" i="9"/>
  <c r="H43" i="9"/>
  <c r="K23" i="9"/>
  <c r="J43" i="9"/>
  <c r="E43" i="9"/>
  <c r="F43" i="9"/>
  <c r="K14" i="9"/>
  <c r="D41" i="9"/>
  <c r="D43" i="9"/>
  <c r="L14" i="9"/>
  <c r="K69" i="9"/>
  <c r="K73" i="9"/>
  <c r="L69" i="9"/>
  <c r="I43" i="9"/>
  <c r="L41" i="9"/>
  <c r="G43" i="9"/>
  <c r="K37" i="10"/>
  <c r="K39" i="10"/>
  <c r="L37" i="10"/>
  <c r="I39" i="10"/>
  <c r="L39" i="10"/>
  <c r="K41" i="9"/>
  <c r="K43" i="9"/>
  <c r="L73" i="9"/>
  <c r="L43" i="9"/>
  <c r="J33" i="1"/>
  <c r="K29" i="1"/>
  <c r="J29" i="1"/>
  <c r="J30" i="1"/>
  <c r="K31" i="1"/>
  <c r="J31" i="1"/>
  <c r="E28" i="1"/>
  <c r="F28" i="1"/>
  <c r="G28" i="1"/>
  <c r="H28" i="1"/>
  <c r="H35" i="1"/>
  <c r="I28" i="1"/>
  <c r="I35" i="1"/>
  <c r="D28" i="1"/>
  <c r="K27" i="1"/>
  <c r="J27" i="1"/>
  <c r="K22" i="1"/>
  <c r="D22" i="1"/>
  <c r="K11" i="1"/>
  <c r="F19" i="6"/>
  <c r="F7" i="6"/>
  <c r="F8" i="6"/>
  <c r="F6" i="6"/>
  <c r="E23" i="6"/>
  <c r="D23" i="6"/>
  <c r="E56" i="4"/>
  <c r="F56" i="4"/>
  <c r="G56" i="4"/>
  <c r="H56" i="4"/>
  <c r="I56" i="4"/>
  <c r="J56" i="4"/>
  <c r="K56" i="4"/>
  <c r="L56" i="4"/>
  <c r="M56" i="4"/>
  <c r="N56" i="4"/>
  <c r="O56" i="4"/>
  <c r="D56" i="4"/>
  <c r="K46" i="4"/>
  <c r="G46" i="4"/>
  <c r="M44" i="4"/>
  <c r="N44" i="4"/>
  <c r="L44" i="4"/>
  <c r="I44" i="4"/>
  <c r="J44" i="4"/>
  <c r="H44" i="4"/>
  <c r="E44" i="4"/>
  <c r="F44" i="4"/>
  <c r="D44" i="4"/>
  <c r="M42" i="4"/>
  <c r="N42" i="4"/>
  <c r="L42" i="4"/>
  <c r="O42" i="4"/>
  <c r="I42" i="4"/>
  <c r="J42" i="4"/>
  <c r="H42" i="4"/>
  <c r="E42" i="4"/>
  <c r="F42" i="4"/>
  <c r="D42" i="4"/>
  <c r="N35" i="4"/>
  <c r="N34" i="4"/>
  <c r="M35" i="4"/>
  <c r="M34" i="4"/>
  <c r="L35" i="4"/>
  <c r="L34" i="4"/>
  <c r="N23" i="4"/>
  <c r="N24" i="4"/>
  <c r="N22" i="4"/>
  <c r="M16" i="4"/>
  <c r="M17" i="4"/>
  <c r="M18" i="4"/>
  <c r="M19" i="4"/>
  <c r="L16" i="4"/>
  <c r="L17" i="4"/>
  <c r="L18" i="4"/>
  <c r="N15" i="4"/>
  <c r="M15" i="4"/>
  <c r="L15" i="4"/>
  <c r="N8" i="4"/>
  <c r="M8" i="4"/>
  <c r="M10" i="4"/>
  <c r="M11" i="4"/>
  <c r="M12" i="4"/>
  <c r="M13" i="4"/>
  <c r="L8" i="4"/>
  <c r="L11" i="4"/>
  <c r="L12" i="4"/>
  <c r="L13" i="4"/>
  <c r="N7" i="4"/>
  <c r="M7" i="4"/>
  <c r="L7" i="4"/>
  <c r="I34" i="4"/>
  <c r="J34" i="4"/>
  <c r="H34" i="4"/>
  <c r="E34" i="4"/>
  <c r="F34" i="4"/>
  <c r="D34" i="4"/>
  <c r="I6" i="4"/>
  <c r="J6" i="4"/>
  <c r="H6" i="4"/>
  <c r="E6" i="4"/>
  <c r="E52" i="2"/>
  <c r="F52" i="2"/>
  <c r="G52" i="2"/>
  <c r="H52" i="2"/>
  <c r="I52" i="2"/>
  <c r="J52" i="2"/>
  <c r="K52" i="2"/>
  <c r="D52" i="2"/>
  <c r="K41" i="2"/>
  <c r="K40" i="2"/>
  <c r="K39" i="2"/>
  <c r="K38" i="2"/>
  <c r="E40" i="2"/>
  <c r="F40" i="2"/>
  <c r="G40" i="2"/>
  <c r="H40" i="2"/>
  <c r="I40" i="2"/>
  <c r="J40" i="2"/>
  <c r="D40" i="2"/>
  <c r="K31" i="2"/>
  <c r="K30" i="2"/>
  <c r="K23" i="2"/>
  <c r="K24" i="2"/>
  <c r="K22" i="2"/>
  <c r="K16" i="2"/>
  <c r="K17" i="2"/>
  <c r="K18" i="2"/>
  <c r="K15" i="2"/>
  <c r="K7" i="2"/>
  <c r="K11" i="2"/>
  <c r="K12" i="2"/>
  <c r="E38" i="2"/>
  <c r="E49" i="2"/>
  <c r="F38" i="2"/>
  <c r="G38" i="2"/>
  <c r="H38" i="2"/>
  <c r="I38" i="2"/>
  <c r="J38" i="2"/>
  <c r="D38" i="2"/>
  <c r="L11" i="2"/>
  <c r="E30" i="2"/>
  <c r="F30" i="2"/>
  <c r="G30" i="2"/>
  <c r="H30" i="2"/>
  <c r="I30" i="2"/>
  <c r="J30" i="2"/>
  <c r="D30" i="2"/>
  <c r="L14" i="2"/>
  <c r="E5" i="2"/>
  <c r="F5" i="2"/>
  <c r="F32" i="2"/>
  <c r="G5" i="2"/>
  <c r="G32" i="2"/>
  <c r="H5" i="2"/>
  <c r="I5" i="2"/>
  <c r="J5" i="2"/>
  <c r="J32" i="2"/>
  <c r="D5" i="2"/>
  <c r="D32" i="2"/>
  <c r="K41" i="1"/>
  <c r="K48" i="1"/>
  <c r="E46" i="1"/>
  <c r="F46" i="1"/>
  <c r="G46" i="1"/>
  <c r="K46" i="1"/>
  <c r="H46" i="1"/>
  <c r="I46" i="1"/>
  <c r="J46" i="1"/>
  <c r="D46" i="1"/>
  <c r="E42" i="1"/>
  <c r="E45" i="1"/>
  <c r="E49" i="1"/>
  <c r="F42" i="1"/>
  <c r="G42" i="1"/>
  <c r="H42" i="1"/>
  <c r="I42" i="1"/>
  <c r="J42" i="1"/>
  <c r="D42" i="1"/>
  <c r="F40" i="1"/>
  <c r="F45" i="1"/>
  <c r="F49" i="1"/>
  <c r="G40" i="1"/>
  <c r="H40" i="1"/>
  <c r="K40" i="1"/>
  <c r="I40" i="1"/>
  <c r="J40" i="1"/>
  <c r="J45" i="1"/>
  <c r="J49" i="1"/>
  <c r="D40" i="1"/>
  <c r="J15" i="1"/>
  <c r="J16" i="1"/>
  <c r="J17" i="1"/>
  <c r="J18" i="1"/>
  <c r="J23" i="1"/>
  <c r="J24" i="1"/>
  <c r="J25" i="1"/>
  <c r="J26" i="1"/>
  <c r="J28" i="1"/>
  <c r="J32" i="1"/>
  <c r="J34" i="1"/>
  <c r="K9" i="1"/>
  <c r="K10" i="1"/>
  <c r="K15" i="1"/>
  <c r="K18" i="1"/>
  <c r="K23" i="1"/>
  <c r="K24" i="1"/>
  <c r="K25" i="1"/>
  <c r="K26" i="1"/>
  <c r="K28" i="1"/>
  <c r="K30" i="1"/>
  <c r="K32" i="1"/>
  <c r="E6" i="1"/>
  <c r="E35" i="1"/>
  <c r="F6" i="1"/>
  <c r="F35" i="1"/>
  <c r="G6" i="1"/>
  <c r="G35" i="1"/>
  <c r="D6" i="1"/>
  <c r="I45" i="1"/>
  <c r="H45" i="1"/>
  <c r="H49" i="1"/>
  <c r="E53" i="2"/>
  <c r="F53" i="4"/>
  <c r="F57" i="4"/>
  <c r="I53" i="4"/>
  <c r="I57" i="4"/>
  <c r="J22" i="1"/>
  <c r="F11" i="6"/>
  <c r="J36" i="4"/>
  <c r="J38" i="4"/>
  <c r="I36" i="4"/>
  <c r="I38" i="4"/>
  <c r="H36" i="4"/>
  <c r="H38" i="4"/>
  <c r="F36" i="4"/>
  <c r="F38" i="4" s="1"/>
  <c r="N21" i="4"/>
  <c r="E36" i="4"/>
  <c r="E38" i="4"/>
  <c r="D36" i="4"/>
  <c r="D38" i="4" s="1"/>
  <c r="J8" i="1"/>
  <c r="G44" i="4"/>
  <c r="E53" i="4"/>
  <c r="E57" i="4"/>
  <c r="K34" i="4"/>
  <c r="K42" i="4"/>
  <c r="O44" i="4"/>
  <c r="G34" i="4"/>
  <c r="D53" i="4"/>
  <c r="D57" i="4"/>
  <c r="J53" i="4"/>
  <c r="J57" i="4"/>
  <c r="M53" i="4"/>
  <c r="M57" i="4"/>
  <c r="K44" i="4"/>
  <c r="N53" i="4"/>
  <c r="N57" i="4"/>
  <c r="O46" i="4"/>
  <c r="H53" i="4"/>
  <c r="H57" i="4"/>
  <c r="G42" i="4"/>
  <c r="L53" i="4"/>
  <c r="L57" i="4"/>
  <c r="K21" i="4"/>
  <c r="N6" i="4"/>
  <c r="L14" i="4"/>
  <c r="M14" i="4"/>
  <c r="N14" i="4"/>
  <c r="J49" i="2"/>
  <c r="J53" i="2"/>
  <c r="F49" i="2"/>
  <c r="F53" i="2"/>
  <c r="K49" i="2"/>
  <c r="K53" i="2"/>
  <c r="J34" i="2"/>
  <c r="H49" i="2"/>
  <c r="H53" i="2"/>
  <c r="I49" i="2"/>
  <c r="I53" i="2"/>
  <c r="H32" i="2"/>
  <c r="H34" i="2"/>
  <c r="I32" i="2"/>
  <c r="I34" i="2"/>
  <c r="E32" i="2"/>
  <c r="E34" i="2"/>
  <c r="D49" i="2"/>
  <c r="D53" i="2"/>
  <c r="G49" i="2"/>
  <c r="K14" i="2"/>
  <c r="L5" i="2"/>
  <c r="D34" i="2"/>
  <c r="F34" i="2"/>
  <c r="G34" i="2"/>
  <c r="I49" i="1"/>
  <c r="F37" i="1"/>
  <c r="E37" i="1"/>
  <c r="K13" i="1"/>
  <c r="D13" i="6"/>
  <c r="E13" i="6"/>
  <c r="D20" i="6"/>
  <c r="D24" i="6"/>
  <c r="E20" i="6"/>
  <c r="E24" i="6"/>
  <c r="F24" i="6"/>
  <c r="F12" i="5"/>
  <c r="F14" i="5"/>
  <c r="D20" i="5"/>
  <c r="D22" i="5"/>
  <c r="F20" i="5"/>
  <c r="F22" i="5"/>
  <c r="G20" i="5"/>
  <c r="G22" i="5"/>
  <c r="E12" i="5"/>
  <c r="E20" i="5"/>
  <c r="H37" i="1"/>
  <c r="K8" i="1"/>
  <c r="G37" i="1"/>
  <c r="G53" i="4"/>
  <c r="G57" i="4"/>
  <c r="O34" i="4"/>
  <c r="K6" i="4"/>
  <c r="M6" i="4"/>
  <c r="L6" i="4"/>
  <c r="G45" i="1"/>
  <c r="K45" i="1"/>
  <c r="I37" i="1"/>
  <c r="K36" i="4"/>
  <c r="G53" i="2"/>
  <c r="L49" i="2"/>
  <c r="L53" i="2"/>
  <c r="O53" i="4"/>
  <c r="O57" i="4"/>
  <c r="K53" i="4"/>
  <c r="K57" i="4"/>
  <c r="K38" i="4"/>
  <c r="O21" i="4"/>
  <c r="L36" i="4"/>
  <c r="L38" i="4"/>
  <c r="O14" i="4"/>
  <c r="M36" i="4"/>
  <c r="M38" i="4"/>
  <c r="N36" i="4"/>
  <c r="N38" i="4"/>
  <c r="L34" i="2"/>
  <c r="K32" i="2"/>
  <c r="K34" i="2" s="1"/>
  <c r="L32" i="2"/>
  <c r="E22" i="5"/>
  <c r="E14" i="5"/>
  <c r="G12" i="5"/>
  <c r="G14" i="5"/>
  <c r="K35" i="1"/>
  <c r="K37" i="1"/>
  <c r="O6" i="4"/>
  <c r="G49" i="1"/>
  <c r="O36" i="4"/>
  <c r="O38" i="4"/>
  <c r="C19" i="11" l="1"/>
</calcChain>
</file>

<file path=xl/sharedStrings.xml><?xml version="1.0" encoding="utf-8"?>
<sst xmlns="http://schemas.openxmlformats.org/spreadsheetml/2006/main" count="712" uniqueCount="249">
  <si>
    <t>Compte</t>
  </si>
  <si>
    <t>Libellé</t>
  </si>
  <si>
    <t>Primitif</t>
  </si>
  <si>
    <t>Additionnel</t>
  </si>
  <si>
    <t>Modifications +/-</t>
  </si>
  <si>
    <t>Recouvrement</t>
  </si>
  <si>
    <t>Reste à recouvrer</t>
  </si>
  <si>
    <t>Taux d'execution</t>
  </si>
  <si>
    <t>Impôts sur les revenus, bénéfices et gains</t>
  </si>
  <si>
    <t>Autres impôts sur les revenus - Impôt synthétique</t>
  </si>
  <si>
    <t>Impôts sur le patrimoine</t>
  </si>
  <si>
    <t>Impôts fonciers sur les terrains - IFT</t>
  </si>
  <si>
    <t>Impôt foncier sur les propriétés bâties – IFPB</t>
  </si>
  <si>
    <t>Impôts sur les biens et services</t>
  </si>
  <si>
    <t>Taxe d’abattage</t>
  </si>
  <si>
    <t>Taxe de visite et de poinçonnage des viandes</t>
  </si>
  <si>
    <t>Recettes non fiscales</t>
  </si>
  <si>
    <t>Subventions</t>
  </si>
  <si>
    <t>Produits des ristournes</t>
  </si>
  <si>
    <t>Prestation de service</t>
  </si>
  <si>
    <t>Locations diverses</t>
  </si>
  <si>
    <t>TOTAL RECETTES REELLES DE FONCTIONNEMENT</t>
  </si>
  <si>
    <t>RECETTES D'ORDRE FONCTIONNEMENT</t>
  </si>
  <si>
    <t>SOUS TOTAL FONCTIONNEMENT</t>
  </si>
  <si>
    <t>Prevision definitive (1)</t>
  </si>
  <si>
    <t>OR Admis (2)</t>
  </si>
  <si>
    <t>SECTION FONCTIONNEMENT</t>
  </si>
  <si>
    <t>SECTION INVESTISSEMENT</t>
  </si>
  <si>
    <t>TOTAL RECETTES REELLES INVESTISSEMENT</t>
  </si>
  <si>
    <t>Fonds de dotations et réserves</t>
  </si>
  <si>
    <t>Dotations de l’État</t>
  </si>
  <si>
    <t>Excédent de fonctionnement capitalisé</t>
  </si>
  <si>
    <t>Subventions d’équipement</t>
  </si>
  <si>
    <t>Cessions d’immobilisations</t>
  </si>
  <si>
    <t>Terrains</t>
  </si>
  <si>
    <t>…...</t>
  </si>
  <si>
    <t>RECETTE D'ORDRE INVESTISSEMENT</t>
  </si>
  <si>
    <t>Dotation globale -EPP</t>
  </si>
  <si>
    <t>Dotation globale -CSB</t>
  </si>
  <si>
    <t>Dotation globale -Etat civil</t>
  </si>
  <si>
    <t>Dotation globale -Autres</t>
  </si>
  <si>
    <t>Taux d'execution (2/1)</t>
  </si>
  <si>
    <t>ENGAGEMENT</t>
  </si>
  <si>
    <t>MANDATEMENT</t>
  </si>
  <si>
    <t>PAIEMENT</t>
  </si>
  <si>
    <t>RESTE A PAYER</t>
  </si>
  <si>
    <t>MANDATEMENT(2)</t>
  </si>
  <si>
    <t>TAUX D'EXECUTION (2/1)</t>
  </si>
  <si>
    <t>TABLEAU DETAILLE DES DEPENSES</t>
  </si>
  <si>
    <t xml:space="preserve">Programme I: </t>
  </si>
  <si>
    <t>ADMINISTRATION ET COORDINATION</t>
  </si>
  <si>
    <t>Charges du personnel</t>
  </si>
  <si>
    <t>Salaires et accessoires - Personnel permanent</t>
  </si>
  <si>
    <t>Salaires et accessoires - Personnel non permanent</t>
  </si>
  <si>
    <t>Indemnités liés à la fonction -personnel permanent</t>
  </si>
  <si>
    <t>Indemnités liés à la fonction -personnel non permanent</t>
  </si>
  <si>
    <t>Cotisation à la CNaPS</t>
  </si>
  <si>
    <t>Cotisation à l'OSIE</t>
  </si>
  <si>
    <t>Achats de biens</t>
  </si>
  <si>
    <t>Fournitures et articles de bureau</t>
  </si>
  <si>
    <t>Imprimés, cachets, documents administratifs</t>
  </si>
  <si>
    <t>Consomptibles informatiques</t>
  </si>
  <si>
    <t>Produits, petits materiels et menues depenses d'entretien</t>
  </si>
  <si>
    <t>Habillement personnel</t>
  </si>
  <si>
    <t>Entretien de batiment</t>
  </si>
  <si>
    <t>Entretien de vehicules</t>
  </si>
  <si>
    <t>Maintenance de materiel informatique</t>
  </si>
  <si>
    <t>Achats de services et charges permanentes</t>
  </si>
  <si>
    <t>Transferts et subventions</t>
  </si>
  <si>
    <t>Contributions obligatoires</t>
  </si>
  <si>
    <t>TOTAL DÉPENSES RÉELLES DE FONCTIONNEMENT</t>
  </si>
  <si>
    <t>DEPENSES D'ORDRE FONCTIONNEMENT</t>
  </si>
  <si>
    <t>SOUS-TOTAL FONCTIONNEMENT</t>
  </si>
  <si>
    <t>Emprunts et dettes assimilées</t>
  </si>
  <si>
    <t>Immobilisations incorporelles</t>
  </si>
  <si>
    <t>Logiciels informatiques et assimilés</t>
  </si>
  <si>
    <t>Immobilisations corporelles</t>
  </si>
  <si>
    <t>Bâtiments administratifs</t>
  </si>
  <si>
    <t>Matériels informatiques</t>
  </si>
  <si>
    <t>TOTAL DÉPENSES RÉELLES D’INVESTISSEMENT</t>
  </si>
  <si>
    <t>TOTAL DÉPENSES D’ORDRE D’INVESTISSEMENT</t>
  </si>
  <si>
    <t>SOUS-TOTAL INVESTISSEMENT</t>
  </si>
  <si>
    <t>Commune:</t>
  </si>
  <si>
    <t>Prog 1</t>
  </si>
  <si>
    <t>Prog 2</t>
  </si>
  <si>
    <t>Prog 3</t>
  </si>
  <si>
    <t>Prog1</t>
  </si>
  <si>
    <t>Prog2</t>
  </si>
  <si>
    <t>Prog3</t>
  </si>
  <si>
    <t>MANDAT</t>
  </si>
  <si>
    <t>TABLEAU DETAILLE DES RECETTES</t>
  </si>
  <si>
    <t>TOTAL</t>
  </si>
  <si>
    <t>TABLEAU D'EQUILIBRE DU COMPTE ADMINISTRATIF</t>
  </si>
  <si>
    <t>DEPENSES</t>
  </si>
  <si>
    <t xml:space="preserve"> RECETTES</t>
  </si>
  <si>
    <t>RECETTES</t>
  </si>
  <si>
    <t>COMPTE</t>
  </si>
  <si>
    <t>INTITULES</t>
  </si>
  <si>
    <t>Intitulés</t>
  </si>
  <si>
    <t>Charges du Personnel</t>
  </si>
  <si>
    <t>Impots sur les revenus, benefices et gains</t>
  </si>
  <si>
    <t>Achat de bien</t>
  </si>
  <si>
    <t>Impots sur le patrimoine</t>
  </si>
  <si>
    <t>Achat de service et charges permanentes</t>
  </si>
  <si>
    <t>Impots sur les biens et services</t>
  </si>
  <si>
    <t>Depenses d'intervention</t>
  </si>
  <si>
    <t>Autres recettes fiscales</t>
  </si>
  <si>
    <t>Impots et taxes</t>
  </si>
  <si>
    <t>Contributions recues des tiers</t>
  </si>
  <si>
    <t>Produits financiers</t>
  </si>
  <si>
    <t>Charges financières</t>
  </si>
  <si>
    <t>Charges diverses</t>
  </si>
  <si>
    <t>Report à nouveau (Deficit)</t>
  </si>
  <si>
    <t>TOTAL DEPENSES REELLES DE FONCTIONNEMENT</t>
  </si>
  <si>
    <t>EXCEDENT DE FONCTIONNEMENT</t>
  </si>
  <si>
    <t>PRODUCTION IMMOBILISEE</t>
  </si>
  <si>
    <t>Total Depenses d'ordre de fonctionnement</t>
  </si>
  <si>
    <t>Total recettes d'ordre de fonctionnement</t>
  </si>
  <si>
    <t>TOTAL DEPENSES DE FONCTIONNEMENT</t>
  </si>
  <si>
    <t>TOTAL RECETTES DE FONCTIONNEMENT</t>
  </si>
  <si>
    <t>DEFICIT DE FONCTIONNEMENT</t>
  </si>
  <si>
    <t>Fonds, dotations et reserves</t>
  </si>
  <si>
    <t>Emprunt et dettes assimilées</t>
  </si>
  <si>
    <t>Subvention d'equipement</t>
  </si>
  <si>
    <t>Cession d'immobilisation</t>
  </si>
  <si>
    <t>TOTAL DEPENSES REELLES D'INVESTISSEMENT</t>
  </si>
  <si>
    <t>TOTAL RECETTES REELLES D'INVESTISSEMENT</t>
  </si>
  <si>
    <t>Dotation de l'Etat</t>
  </si>
  <si>
    <t>Excedent fonctionnement capitalisé (part de credit affecté aux investissements)</t>
  </si>
  <si>
    <t>Total depenses d'ordre Investissement</t>
  </si>
  <si>
    <t>Total recettes d'ordre Investissement</t>
  </si>
  <si>
    <t>TOTAL DEPENSES INVESTISSEMENT</t>
  </si>
  <si>
    <t>TOTAL RECETTES INVESTISSEMENT</t>
  </si>
  <si>
    <t>taxes sur les appareils mecaniques</t>
  </si>
  <si>
    <t>taxes sur la publicité</t>
  </si>
  <si>
    <t>Impôt de licence foraine sur les alcool et……….</t>
  </si>
  <si>
    <t>taxes sur les fêtes, spectacles et manifestations…</t>
  </si>
  <si>
    <t>organisme privée locaux</t>
  </si>
  <si>
    <t>redevances sur autorisation administrative</t>
  </si>
  <si>
    <t>autres redevances locales</t>
  </si>
  <si>
    <t>revenus des domaines</t>
  </si>
  <si>
    <t>Autres impôts sur les biens et services</t>
  </si>
  <si>
    <t xml:space="preserve"> </t>
  </si>
  <si>
    <t>indemnité liées à la soldes - Personnel permanent</t>
  </si>
  <si>
    <t>indemnité liées à la soldes - Personnel non  permanent</t>
  </si>
  <si>
    <t>Fournitures ménagères</t>
  </si>
  <si>
    <t>Carburant et Lubrifiant</t>
  </si>
  <si>
    <t>Impression, reliure,insertions,publicité et promotion</t>
  </si>
  <si>
    <t>Frais de deplacement interieur</t>
  </si>
  <si>
    <t>Indemnité de mission interieur</t>
  </si>
  <si>
    <t>Services bancaires et assimilés</t>
  </si>
  <si>
    <t>Personnels exterieur au service</t>
  </si>
  <si>
    <t>Dépenses d'Intervention</t>
  </si>
  <si>
    <t>Dépenses d'Intervention sociale</t>
  </si>
  <si>
    <t>Autres constructions ou réhabilitations Infrastructures</t>
  </si>
  <si>
    <t>Matériels techniques</t>
  </si>
  <si>
    <t>Matériels et mobiliers de bureau</t>
  </si>
  <si>
    <t>Matériels agricoles</t>
  </si>
  <si>
    <r>
      <t>Programme I</t>
    </r>
    <r>
      <rPr>
        <i/>
        <sz val="11"/>
        <color theme="1"/>
        <rFont val="Calibri"/>
        <family val="2"/>
        <scheme val="minor"/>
      </rPr>
      <t>I</t>
    </r>
    <r>
      <rPr>
        <sz val="11"/>
        <color theme="1"/>
        <rFont val="Calibri"/>
        <family val="2"/>
        <scheme val="minor"/>
      </rPr>
      <t xml:space="preserve">: </t>
    </r>
  </si>
  <si>
    <t>DEVELOPPEMENT ECONOMIQUE ET SOCIAL</t>
  </si>
  <si>
    <t>Fêtes et ceremonies officiels</t>
  </si>
  <si>
    <t>Transport des biens</t>
  </si>
  <si>
    <t>Transferts aux collectivités publiques</t>
  </si>
  <si>
    <t>Autres immobilisations incorporelles</t>
  </si>
  <si>
    <t>Batiments scolaires</t>
  </si>
  <si>
    <t>Routes</t>
  </si>
  <si>
    <t xml:space="preserve">  </t>
  </si>
  <si>
    <t>Matériels et mobiliers scolaires</t>
  </si>
  <si>
    <t>Autres immobilisation corporelles</t>
  </si>
  <si>
    <r>
      <t>Programme I</t>
    </r>
    <r>
      <rPr>
        <i/>
        <sz val="11"/>
        <color theme="1"/>
        <rFont val="Calibri"/>
        <family val="2"/>
        <scheme val="minor"/>
      </rPr>
      <t xml:space="preserve">II </t>
    </r>
    <r>
      <rPr>
        <sz val="11"/>
        <color theme="1"/>
        <rFont val="Calibri"/>
        <family val="2"/>
        <scheme val="minor"/>
      </rPr>
      <t xml:space="preserve">: </t>
    </r>
  </si>
  <si>
    <t>SANTE</t>
  </si>
  <si>
    <t>Autres combustibles</t>
  </si>
  <si>
    <t>Entretien de bâtiments</t>
  </si>
  <si>
    <t>Eau et Eléctricité</t>
  </si>
  <si>
    <t>Redevance téléphonique mobiles</t>
  </si>
  <si>
    <t>Terrain nus</t>
  </si>
  <si>
    <t>indemnite liée a lasolde - Personnel permanent</t>
  </si>
  <si>
    <t>impression, reliure, insertions publicité et promotion</t>
  </si>
  <si>
    <t>frais de deplacement interieur</t>
  </si>
  <si>
    <t>indemnité de mission interieur</t>
  </si>
  <si>
    <t xml:space="preserve">Depenses d'Intervention </t>
  </si>
  <si>
    <t>depenses d'intervention social</t>
  </si>
  <si>
    <t>fêtes et céremonie officiels</t>
  </si>
  <si>
    <t>Materiels et mobilers scolaires</t>
  </si>
  <si>
    <t>service bancaire et assimilés</t>
  </si>
  <si>
    <t>RECAPITULATION DES RECETTES</t>
  </si>
  <si>
    <t>RECAPITULATION DES DEPENSES PAR PROGRAMME</t>
  </si>
  <si>
    <t>RECAPITULATIONS DES DEPENSES</t>
  </si>
  <si>
    <t>OD ADMIS</t>
  </si>
  <si>
    <t>Reste à payer</t>
  </si>
  <si>
    <t>OR admis</t>
  </si>
  <si>
    <t>Report à nouveau (Excedent)</t>
  </si>
  <si>
    <t>Excedent d'Investissement</t>
  </si>
  <si>
    <t>Deficit d'Investissement</t>
  </si>
  <si>
    <t>LE PRESIDENT CONSEIL COMMUNAL</t>
  </si>
  <si>
    <t>LE MAIRE</t>
  </si>
  <si>
    <t>ANNEXE 2- TABLEAU DES ENGAGEMENTS NON ORDONNANCES</t>
  </si>
  <si>
    <t>Imputation</t>
  </si>
  <si>
    <t>engagement</t>
  </si>
  <si>
    <t>nom bénéficiaire</t>
  </si>
  <si>
    <t>motif</t>
  </si>
  <si>
    <r>
      <rPr>
        <sz val="9"/>
        <color rgb="FF000000"/>
        <rFont val="Times New Roman"/>
        <family val="1"/>
      </rPr>
      <t>m</t>
    </r>
    <r>
      <rPr>
        <sz val="9"/>
        <color rgb="FF000000"/>
        <rFont val="Times New Roman"/>
        <family val="1"/>
      </rPr>
      <t>on</t>
    </r>
    <r>
      <rPr>
        <sz val="9"/>
        <color rgb="FF000000"/>
        <rFont val="Times New Roman"/>
        <family val="1"/>
      </rPr>
      <t>t</t>
    </r>
    <r>
      <rPr>
        <sz val="9"/>
        <color rgb="FF000000"/>
        <rFont val="Times New Roman"/>
        <family val="1"/>
      </rPr>
      <t>ant</t>
    </r>
  </si>
  <si>
    <r>
      <rPr>
        <sz val="9"/>
        <color rgb="FF000000"/>
        <rFont val="Times New Roman"/>
        <family val="1"/>
      </rPr>
      <t>Impu</t>
    </r>
    <r>
      <rPr>
        <sz val="9"/>
        <color rgb="FF000000"/>
        <rFont val="Times New Roman"/>
        <family val="1"/>
      </rPr>
      <t>t</t>
    </r>
    <r>
      <rPr>
        <sz val="9"/>
        <color rgb="FF000000"/>
        <rFont val="Times New Roman"/>
        <family val="1"/>
      </rPr>
      <t>a</t>
    </r>
    <r>
      <rPr>
        <sz val="9"/>
        <color rgb="FF000000"/>
        <rFont val="Times New Roman"/>
        <family val="1"/>
      </rPr>
      <t>t</t>
    </r>
    <r>
      <rPr>
        <sz val="9"/>
        <color rgb="FF000000"/>
        <rFont val="Times New Roman"/>
        <family val="1"/>
      </rPr>
      <t>I</t>
    </r>
    <r>
      <rPr>
        <sz val="9"/>
        <color rgb="FF000000"/>
        <rFont val="Times New Roman"/>
        <family val="1"/>
      </rPr>
      <t>on</t>
    </r>
  </si>
  <si>
    <t>n°</t>
  </si>
  <si>
    <t>date</t>
  </si>
  <si>
    <r>
      <rPr>
        <sz val="9"/>
        <color rgb="FF000000"/>
        <rFont val="Times New Roman"/>
        <family val="1"/>
      </rPr>
      <t>m</t>
    </r>
    <r>
      <rPr>
        <sz val="9"/>
        <color rgb="FF000000"/>
        <rFont val="Times New Roman"/>
        <family val="1"/>
      </rPr>
      <t>o</t>
    </r>
    <r>
      <rPr>
        <sz val="9"/>
        <color rgb="FF000000"/>
        <rFont val="Times New Roman"/>
        <family val="1"/>
      </rPr>
      <t>t</t>
    </r>
    <r>
      <rPr>
        <sz val="9"/>
        <color rgb="FF000000"/>
        <rFont val="Times New Roman"/>
        <family val="1"/>
      </rPr>
      <t>I</t>
    </r>
    <r>
      <rPr>
        <sz val="9"/>
        <color rgb="FF000000"/>
        <rFont val="Times New Roman"/>
        <family val="1"/>
      </rPr>
      <t>f</t>
    </r>
  </si>
  <si>
    <t>total par imputation</t>
  </si>
  <si>
    <t>….</t>
  </si>
  <si>
    <t>montant</t>
  </si>
  <si>
    <t>ImputatIon</t>
  </si>
  <si>
    <t>nom bénéfIcIaIre</t>
  </si>
  <si>
    <t>motIf</t>
  </si>
  <si>
    <t>ANNEXE 4- COMPTE MATIERE</t>
  </si>
  <si>
    <t>n° d’InventaIre</t>
  </si>
  <si>
    <t>désIGnatIon</t>
  </si>
  <si>
    <t>date d’acquisition</t>
  </si>
  <si>
    <t>nombre</t>
  </si>
  <si>
    <t>prix unitaire</t>
  </si>
  <si>
    <t>Nombre</t>
  </si>
  <si>
    <t>ANNEXE 3- TABLEAU DES ORDRES DE RECETTES NON RECOUVRES</t>
  </si>
  <si>
    <t>ordre de recettes</t>
  </si>
  <si>
    <t>nom du redevabLe</t>
  </si>
  <si>
    <r>
      <rPr>
        <sz val="9"/>
        <color rgb="FF000000"/>
        <rFont val="Times New Roman"/>
        <family val="1"/>
      </rPr>
      <t>n</t>
    </r>
    <r>
      <rPr>
        <sz val="9"/>
        <color rgb="FF000000"/>
        <rFont val="Times New Roman"/>
        <family val="1"/>
      </rPr>
      <t>om</t>
    </r>
    <r>
      <rPr>
        <sz val="9"/>
        <color rgb="FF000000"/>
        <rFont val="Times New Roman"/>
        <family val="1"/>
      </rPr>
      <t xml:space="preserve"> </t>
    </r>
    <r>
      <rPr>
        <sz val="9"/>
        <color rgb="FF000000"/>
        <rFont val="Times New Roman"/>
        <family val="1"/>
      </rPr>
      <t>du</t>
    </r>
    <r>
      <rPr>
        <sz val="9"/>
        <color rgb="FF000000"/>
        <rFont val="Times New Roman"/>
        <family val="1"/>
      </rPr>
      <t xml:space="preserve"> </t>
    </r>
    <r>
      <rPr>
        <sz val="9"/>
        <color rgb="FF000000"/>
        <rFont val="Times New Roman"/>
        <family val="1"/>
      </rPr>
      <t>rede</t>
    </r>
    <r>
      <rPr>
        <sz val="9"/>
        <color rgb="FF000000"/>
        <rFont val="Times New Roman"/>
        <family val="1"/>
      </rPr>
      <t>V</t>
    </r>
    <r>
      <rPr>
        <sz val="9"/>
        <color rgb="FF000000"/>
        <rFont val="Times New Roman"/>
        <family val="1"/>
      </rPr>
      <t>ab</t>
    </r>
    <r>
      <rPr>
        <sz val="9"/>
        <color rgb="FF000000"/>
        <rFont val="Times New Roman"/>
        <family val="1"/>
      </rPr>
      <t>L</t>
    </r>
    <r>
      <rPr>
        <sz val="9"/>
        <color rgb="FF000000"/>
        <rFont val="Times New Roman"/>
        <family val="1"/>
      </rPr>
      <t>e</t>
    </r>
  </si>
  <si>
    <t xml:space="preserve">Autres taxes et impots annuels </t>
  </si>
  <si>
    <t>Taxes de residence pour le developpement</t>
  </si>
  <si>
    <t>Subventions reçues des organismes nationaux</t>
  </si>
  <si>
    <t>Primitif 2023</t>
  </si>
  <si>
    <t>Additionnel 2023</t>
  </si>
  <si>
    <t>Redevances téléphoniques mobiles</t>
  </si>
  <si>
    <t>Fournitures et articles du bureau</t>
  </si>
  <si>
    <t>Carburant et lubrifiant</t>
  </si>
  <si>
    <t>Impression, reliure, insertion, publicité et ,,,</t>
  </si>
  <si>
    <t>Viatique</t>
  </si>
  <si>
    <t>Aménagement de Terrain</t>
  </si>
  <si>
    <t>Batiments administratif</t>
  </si>
  <si>
    <t>Adduction d'eau</t>
  </si>
  <si>
    <t>Construction ou réhabilitation réseau d'irrigation</t>
  </si>
  <si>
    <t>Outillages</t>
  </si>
  <si>
    <t>Carburants et lubrifiant</t>
  </si>
  <si>
    <t>Rédévance téléphonique mobile</t>
  </si>
  <si>
    <t>Matériel et mobilier de bureau</t>
  </si>
  <si>
    <t>Autres recettes fiscal</t>
  </si>
  <si>
    <t>Arrêter le present Compte Administratif de l'année 2023 de la  Commune Rurale d'Andrafiabe en Recette : Section Fonctionnement à la somme de CINQUANTE UN MILLIONS NEUF CENT QUATRE VINGT HUIT MILLE SEPT CENT UN ARIARY (51.988.701 Ar)Section Investissement à la somme de ZERO (0,00Ar) En Depenses Section fonctionnement: QUARANTE UN MILLIONS HUIT CENT QUARANTE NEUF MILLES DEUX CENT ARIARY ( 41.849.200Ar), section investissement à la somme de deux millions deux cent vingt mille ARIARY (2.220.000Ar)</t>
  </si>
  <si>
    <t>et degage les resultats: *R1(section fonctionnement égal à CINQUANTE UN MILLIONS NEUF CENT QUATRE VINGT HUIT MILLE SEPT CENT UN ARIARY(51.988.701Ar) mais qui fait l'objet d'une contraction partielle de DEUXMILLIONS DEUX CENT MILLE ARIARY (2.220.000Ar). D'ou Résultat définitif est égal à SEPT MILLIOS NEUF CENT TRENTE NEUF MILLE CINQ CENT UN ARIARY (7.939.501Ar) *R2 égal à ZERO (0,00Ar) d'ou Résultat définitif égal à SEPT MILLIONS NEUF CENT TRENTE NEUF MILLE CINQ CENT UN ARIARY(7.939.501Ar) par déliberation N°             / 24 en date du                                    2024</t>
  </si>
  <si>
    <t>Andrafiabe, le</t>
  </si>
  <si>
    <t>ABDALLAH Said</t>
  </si>
  <si>
    <t>FENOTOMBO BETOMBO</t>
  </si>
  <si>
    <t>Rurale ANDRAFIABE</t>
  </si>
  <si>
    <t>COMMUNE RURALE ANDRAFIABE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</si>
</sst>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i/>
      <sz val="11"/>
      <color theme="1"/>
      <name val="Calibri"/>
      <family val="2"/>
      <scheme val="minor"/>
    </font>
    <font>
      <b/>
      <sz val="18"/>
      <color theme="1"/>
      <name val="Calibri"/>
      <family val="2"/>
      <scheme val="minor"/>
    </font>
    <font>
      <b/>
      <sz val="12"/>
      <color theme="1"/>
      <name val="Calibri"/>
      <family val="2"/>
      <scheme val="minor"/>
    </font>
    <font>
      <sz val="9"/>
      <color rgb="FF000000"/>
      <name val="Times New Roman"/>
      <family val="1"/>
    </font>
    <font>
      <sz val="10"/>
      <color rgb="FF000000"/>
      <name val="Times New Roman"/>
      <family val="1"/>
    </font>
    <font>
      <b/>
      <sz val="9"/>
      <color rgb="FF000000"/>
      <name val="Times New Roman"/>
      <family val="1"/>
    </font>
    <font>
      <sz val="9"/>
      <color rgb="FF000000"/>
      <name val="Calibri"/>
      <family val="2"/>
      <charset val="204"/>
    </font>
    <font>
      <sz val="11"/>
      <color theme="1"/>
      <name val="Calibri"/>
      <family val="2"/>
      <scheme val="minor"/>
    </font>
  </fonts>
  <fills count="7">
    <fill>
      <patternFill patternType="none"/>
    </fill>
    <fill>
      <patternFill patternType="gray125"/>
    </fill>
    <fill>
      <patternFill patternType="solid">
        <fgColor theme="0" tint="-0.249977111117893"/>
        <bgColor indexed="64"/>
      </patternFill>
    </fill>
    <fill>
      <patternFill patternType="solid">
        <fgColor theme="2" tint="-0.249977111117893"/>
        <bgColor indexed="64"/>
      </patternFill>
    </fill>
    <fill>
      <patternFill patternType="solid">
        <fgColor theme="0"/>
        <bgColor indexed="64"/>
      </patternFill>
    </fill>
    <fill>
      <patternFill patternType="solid">
        <fgColor theme="1"/>
        <bgColor indexed="64"/>
      </patternFill>
    </fill>
    <fill>
      <patternFill patternType="solid">
        <fgColor rgb="FFD0D2D4"/>
      </patternFill>
    </fill>
  </fills>
  <borders count="25">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thin">
        <color indexed="64"/>
      </left>
      <right style="medium">
        <color indexed="64"/>
      </right>
      <top/>
      <bottom/>
      <diagonal/>
    </border>
    <border>
      <left/>
      <right/>
      <top style="medium">
        <color indexed="64"/>
      </top>
      <bottom/>
      <diagonal/>
    </border>
    <border>
      <left style="thin">
        <color indexed="64"/>
      </left>
      <right/>
      <top style="medium">
        <color indexed="64"/>
      </top>
      <bottom style="medium">
        <color indexed="64"/>
      </bottom>
      <diagonal/>
    </border>
    <border>
      <left style="medium">
        <color indexed="64"/>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s>
  <cellStyleXfs count="2">
    <xf numFmtId="0" fontId="0" fillId="0" borderId="0"/>
    <xf numFmtId="9" fontId="9" fillId="0" borderId="0" applyFont="0" applyFill="0" applyBorder="0" applyAlignment="0" applyProtection="0"/>
  </cellStyleXfs>
  <cellXfs count="183">
    <xf numFmtId="0" fontId="0" fillId="0" borderId="0" xfId="0"/>
    <xf numFmtId="0" fontId="1" fillId="0" borderId="0" xfId="0" applyFont="1"/>
    <xf numFmtId="0" fontId="1" fillId="0" borderId="0" xfId="0" applyFont="1" applyAlignment="1">
      <alignment horizontal="left"/>
    </xf>
    <xf numFmtId="0" fontId="1" fillId="0" borderId="1" xfId="0" applyFont="1" applyBorder="1"/>
    <xf numFmtId="0" fontId="1" fillId="0" borderId="2" xfId="0" applyFont="1" applyBorder="1"/>
    <xf numFmtId="0" fontId="1" fillId="0" borderId="2" xfId="0" applyFont="1" applyBorder="1" applyAlignment="1">
      <alignment wrapText="1"/>
    </xf>
    <xf numFmtId="0" fontId="0" fillId="0" borderId="0" xfId="0" applyAlignment="1">
      <alignment horizontal="left"/>
    </xf>
    <xf numFmtId="0" fontId="0" fillId="0" borderId="0" xfId="0" applyAlignment="1">
      <alignment horizontal="right"/>
    </xf>
    <xf numFmtId="3" fontId="0" fillId="0" borderId="0" xfId="0" applyNumberFormat="1"/>
    <xf numFmtId="0" fontId="1" fillId="0" borderId="0" xfId="0" applyFont="1" applyAlignment="1">
      <alignment horizontal="center"/>
    </xf>
    <xf numFmtId="0" fontId="0" fillId="0" borderId="0" xfId="0" applyAlignment="1">
      <alignment horizontal="center"/>
    </xf>
    <xf numFmtId="3" fontId="1" fillId="0" borderId="0" xfId="0" applyNumberFormat="1" applyFont="1"/>
    <xf numFmtId="3" fontId="1" fillId="0" borderId="7" xfId="0" applyNumberFormat="1" applyFont="1" applyBorder="1" applyAlignment="1">
      <alignment horizontal="left"/>
    </xf>
    <xf numFmtId="3" fontId="1" fillId="0" borderId="0" xfId="0" applyNumberFormat="1" applyFont="1" applyAlignment="1">
      <alignment horizontal="left"/>
    </xf>
    <xf numFmtId="3" fontId="0" fillId="0" borderId="7" xfId="0" applyNumberFormat="1" applyBorder="1"/>
    <xf numFmtId="3" fontId="0" fillId="0" borderId="7" xfId="0" applyNumberFormat="1" applyBorder="1" applyAlignment="1">
      <alignment horizontal="left"/>
    </xf>
    <xf numFmtId="3" fontId="0" fillId="0" borderId="0" xfId="0" applyNumberFormat="1" applyAlignment="1">
      <alignment horizontal="left"/>
    </xf>
    <xf numFmtId="3" fontId="1" fillId="2" borderId="0" xfId="0" applyNumberFormat="1" applyFont="1" applyFill="1" applyAlignment="1">
      <alignment horizontal="left"/>
    </xf>
    <xf numFmtId="3" fontId="1" fillId="2" borderId="8" xfId="0" applyNumberFormat="1" applyFont="1" applyFill="1" applyBorder="1" applyAlignment="1">
      <alignment horizontal="left"/>
    </xf>
    <xf numFmtId="3" fontId="1" fillId="0" borderId="7" xfId="0" applyNumberFormat="1" applyFont="1" applyBorder="1"/>
    <xf numFmtId="3" fontId="1" fillId="0" borderId="9" xfId="0" applyNumberFormat="1" applyFont="1" applyBorder="1"/>
    <xf numFmtId="3" fontId="1" fillId="0" borderId="10" xfId="0" applyNumberFormat="1" applyFont="1" applyBorder="1"/>
    <xf numFmtId="0" fontId="1" fillId="0" borderId="1" xfId="0" applyFont="1" applyBorder="1" applyAlignment="1">
      <alignment wrapText="1"/>
    </xf>
    <xf numFmtId="0" fontId="1" fillId="0" borderId="3" xfId="0" applyFont="1" applyBorder="1"/>
    <xf numFmtId="0" fontId="1" fillId="0" borderId="12" xfId="0" applyFont="1" applyBorder="1" applyAlignment="1">
      <alignment horizontal="left"/>
    </xf>
    <xf numFmtId="0" fontId="0" fillId="0" borderId="12" xfId="0" applyBorder="1"/>
    <xf numFmtId="0" fontId="0" fillId="0" borderId="12" xfId="0" applyBorder="1" applyAlignment="1">
      <alignment horizontal="right"/>
    </xf>
    <xf numFmtId="0" fontId="1" fillId="2" borderId="12" xfId="0" applyFont="1" applyFill="1" applyBorder="1" applyAlignment="1">
      <alignment horizontal="left"/>
    </xf>
    <xf numFmtId="0" fontId="1" fillId="0" borderId="12" xfId="0" applyFont="1" applyBorder="1"/>
    <xf numFmtId="0" fontId="1" fillId="0" borderId="13" xfId="0" applyFont="1" applyBorder="1"/>
    <xf numFmtId="0" fontId="0" fillId="0" borderId="12" xfId="0" applyBorder="1" applyAlignment="1">
      <alignment horizontal="left"/>
    </xf>
    <xf numFmtId="3" fontId="0" fillId="2" borderId="8" xfId="0" applyNumberFormat="1" applyFill="1" applyBorder="1"/>
    <xf numFmtId="3" fontId="1" fillId="2" borderId="8" xfId="0" applyNumberFormat="1" applyFont="1" applyFill="1" applyBorder="1"/>
    <xf numFmtId="3" fontId="1" fillId="2" borderId="11" xfId="0" applyNumberFormat="1" applyFont="1" applyFill="1" applyBorder="1"/>
    <xf numFmtId="0" fontId="1" fillId="0" borderId="14" xfId="0" applyFont="1" applyBorder="1"/>
    <xf numFmtId="3" fontId="0" fillId="2" borderId="0" xfId="0" applyNumberFormat="1" applyFill="1"/>
    <xf numFmtId="3" fontId="1" fillId="2" borderId="0" xfId="0" applyNumberFormat="1" applyFont="1" applyFill="1"/>
    <xf numFmtId="0" fontId="1" fillId="0" borderId="4" xfId="0" applyFont="1" applyBorder="1"/>
    <xf numFmtId="0" fontId="1" fillId="0" borderId="14" xfId="0" applyFont="1" applyBorder="1" applyAlignment="1">
      <alignment horizontal="left"/>
    </xf>
    <xf numFmtId="3" fontId="1" fillId="0" borderId="8" xfId="0" applyNumberFormat="1" applyFont="1" applyBorder="1"/>
    <xf numFmtId="3" fontId="1" fillId="0" borderId="12" xfId="0" applyNumberFormat="1" applyFont="1" applyBorder="1" applyAlignment="1">
      <alignment horizontal="left"/>
    </xf>
    <xf numFmtId="3" fontId="0" fillId="0" borderId="12" xfId="0" applyNumberFormat="1" applyBorder="1"/>
    <xf numFmtId="3" fontId="0" fillId="0" borderId="12" xfId="0" applyNumberFormat="1" applyBorder="1" applyAlignment="1">
      <alignment horizontal="right"/>
    </xf>
    <xf numFmtId="3" fontId="1" fillId="0" borderId="12" xfId="0" applyNumberFormat="1" applyFont="1" applyBorder="1"/>
    <xf numFmtId="3" fontId="1" fillId="0" borderId="13" xfId="0" applyNumberFormat="1" applyFont="1" applyBorder="1"/>
    <xf numFmtId="0" fontId="1" fillId="0" borderId="3" xfId="0" applyFont="1" applyBorder="1" applyAlignment="1">
      <alignment horizontal="center" wrapText="1"/>
    </xf>
    <xf numFmtId="3" fontId="0" fillId="0" borderId="12" xfId="0" applyNumberFormat="1" applyBorder="1" applyAlignment="1">
      <alignment horizontal="center"/>
    </xf>
    <xf numFmtId="0" fontId="1" fillId="0" borderId="12" xfId="0" applyFont="1" applyBorder="1" applyAlignment="1">
      <alignment horizontal="center"/>
    </xf>
    <xf numFmtId="0" fontId="1" fillId="0" borderId="3" xfId="0" applyFont="1" applyBorder="1" applyAlignment="1">
      <alignment wrapText="1"/>
    </xf>
    <xf numFmtId="9" fontId="1" fillId="0" borderId="12" xfId="0" applyNumberFormat="1" applyFont="1" applyBorder="1" applyAlignment="1">
      <alignment horizontal="left"/>
    </xf>
    <xf numFmtId="9" fontId="1" fillId="0" borderId="12" xfId="0" applyNumberFormat="1" applyFont="1" applyBorder="1"/>
    <xf numFmtId="9" fontId="1" fillId="0" borderId="13" xfId="0" applyNumberFormat="1" applyFont="1" applyBorder="1"/>
    <xf numFmtId="0" fontId="1" fillId="0" borderId="14" xfId="0" applyFont="1" applyBorder="1" applyAlignment="1">
      <alignment wrapText="1"/>
    </xf>
    <xf numFmtId="3" fontId="1" fillId="0" borderId="14" xfId="0" applyNumberFormat="1" applyFont="1" applyBorder="1" applyAlignment="1">
      <alignment horizontal="left"/>
    </xf>
    <xf numFmtId="3" fontId="1" fillId="2" borderId="15" xfId="0" applyNumberFormat="1" applyFont="1" applyFill="1" applyBorder="1" applyAlignment="1">
      <alignment horizontal="left"/>
    </xf>
    <xf numFmtId="0" fontId="0" fillId="0" borderId="13" xfId="0" applyBorder="1"/>
    <xf numFmtId="3" fontId="0" fillId="2" borderId="11" xfId="0" applyNumberFormat="1" applyFill="1" applyBorder="1"/>
    <xf numFmtId="3" fontId="1" fillId="2" borderId="15" xfId="0" applyNumberFormat="1" applyFont="1" applyFill="1" applyBorder="1" applyAlignment="1">
      <alignment wrapText="1"/>
    </xf>
    <xf numFmtId="3" fontId="0" fillId="2" borderId="15" xfId="0" applyNumberFormat="1" applyFill="1" applyBorder="1"/>
    <xf numFmtId="0" fontId="1" fillId="2" borderId="16" xfId="0" applyFont="1" applyFill="1" applyBorder="1" applyAlignment="1">
      <alignment wrapText="1"/>
    </xf>
    <xf numFmtId="0" fontId="1" fillId="2" borderId="8" xfId="0" applyFont="1" applyFill="1" applyBorder="1" applyAlignment="1">
      <alignment wrapText="1"/>
    </xf>
    <xf numFmtId="0" fontId="1" fillId="0" borderId="7" xfId="0" applyFont="1" applyBorder="1"/>
    <xf numFmtId="3" fontId="1" fillId="2" borderId="17" xfId="0" applyNumberFormat="1" applyFont="1" applyFill="1" applyBorder="1" applyAlignment="1">
      <alignment horizontal="left"/>
    </xf>
    <xf numFmtId="3" fontId="0" fillId="2" borderId="10" xfId="0" applyNumberFormat="1" applyFill="1" applyBorder="1"/>
    <xf numFmtId="3" fontId="1" fillId="2" borderId="14" xfId="0" applyNumberFormat="1" applyFont="1" applyFill="1" applyBorder="1" applyAlignment="1">
      <alignment horizontal="left"/>
    </xf>
    <xf numFmtId="3" fontId="1" fillId="2" borderId="12" xfId="0" applyNumberFormat="1" applyFont="1" applyFill="1" applyBorder="1" applyAlignment="1">
      <alignment horizontal="left"/>
    </xf>
    <xf numFmtId="3" fontId="1" fillId="2" borderId="12" xfId="0" applyNumberFormat="1" applyFont="1" applyFill="1" applyBorder="1"/>
    <xf numFmtId="3" fontId="0" fillId="2" borderId="13" xfId="0" applyNumberFormat="1" applyFill="1" applyBorder="1"/>
    <xf numFmtId="3" fontId="0" fillId="0" borderId="12" xfId="0" applyNumberFormat="1" applyBorder="1" applyAlignment="1">
      <alignment horizontal="left"/>
    </xf>
    <xf numFmtId="0" fontId="1" fillId="0" borderId="18" xfId="0" applyFont="1" applyBorder="1" applyAlignment="1">
      <alignment horizontal="center" wrapText="1"/>
    </xf>
    <xf numFmtId="0" fontId="1" fillId="0" borderId="18" xfId="0" applyFont="1" applyBorder="1" applyAlignment="1">
      <alignment wrapText="1"/>
    </xf>
    <xf numFmtId="0" fontId="1" fillId="2" borderId="3" xfId="0" applyFont="1" applyFill="1" applyBorder="1" applyAlignment="1">
      <alignment wrapText="1"/>
    </xf>
    <xf numFmtId="3" fontId="0" fillId="2" borderId="12" xfId="0" applyNumberFormat="1" applyFill="1" applyBorder="1"/>
    <xf numFmtId="3" fontId="0" fillId="2" borderId="12" xfId="0" applyNumberFormat="1" applyFill="1" applyBorder="1" applyAlignment="1">
      <alignment horizontal="left"/>
    </xf>
    <xf numFmtId="3" fontId="1" fillId="2" borderId="13" xfId="0" applyNumberFormat="1" applyFont="1" applyFill="1" applyBorder="1"/>
    <xf numFmtId="3" fontId="0" fillId="0" borderId="8" xfId="0" applyNumberFormat="1" applyBorder="1"/>
    <xf numFmtId="0" fontId="1" fillId="2" borderId="14" xfId="0" applyFont="1" applyFill="1" applyBorder="1" applyAlignment="1">
      <alignment horizontal="left"/>
    </xf>
    <xf numFmtId="3" fontId="1" fillId="2" borderId="19" xfId="0" applyNumberFormat="1" applyFont="1" applyFill="1" applyBorder="1" applyAlignment="1">
      <alignment horizontal="left"/>
    </xf>
    <xf numFmtId="3" fontId="1" fillId="0" borderId="4" xfId="0" applyNumberFormat="1" applyFont="1" applyBorder="1"/>
    <xf numFmtId="3" fontId="1" fillId="0" borderId="5" xfId="0" applyNumberFormat="1" applyFont="1" applyBorder="1"/>
    <xf numFmtId="3" fontId="1" fillId="0" borderId="5" xfId="0" applyNumberFormat="1" applyFont="1" applyBorder="1" applyAlignment="1">
      <alignment horizontal="center" wrapText="1"/>
    </xf>
    <xf numFmtId="3" fontId="1" fillId="2" borderId="3" xfId="0" applyNumberFormat="1" applyFont="1" applyFill="1" applyBorder="1" applyAlignment="1">
      <alignment wrapText="1"/>
    </xf>
    <xf numFmtId="3" fontId="1" fillId="0" borderId="5" xfId="0" applyNumberFormat="1" applyFont="1" applyBorder="1" applyAlignment="1">
      <alignment wrapText="1"/>
    </xf>
    <xf numFmtId="3" fontId="1" fillId="0" borderId="4" xfId="0" applyNumberFormat="1" applyFont="1" applyBorder="1" applyAlignment="1">
      <alignment wrapText="1"/>
    </xf>
    <xf numFmtId="3" fontId="0" fillId="0" borderId="5" xfId="0" applyNumberFormat="1" applyBorder="1"/>
    <xf numFmtId="3" fontId="0" fillId="2" borderId="3" xfId="0" applyNumberFormat="1" applyFill="1" applyBorder="1"/>
    <xf numFmtId="0" fontId="0" fillId="3" borderId="4" xfId="0" applyFill="1" applyBorder="1" applyAlignment="1">
      <alignment horizontal="center"/>
    </xf>
    <xf numFmtId="0" fontId="0" fillId="0" borderId="3" xfId="0" applyBorder="1"/>
    <xf numFmtId="0" fontId="0" fillId="0" borderId="5" xfId="0" applyBorder="1"/>
    <xf numFmtId="0" fontId="0" fillId="3" borderId="3" xfId="0" applyFill="1" applyBorder="1" applyAlignment="1">
      <alignment horizontal="center"/>
    </xf>
    <xf numFmtId="0" fontId="0" fillId="3" borderId="19" xfId="0" applyFill="1" applyBorder="1" applyAlignment="1">
      <alignment horizontal="center"/>
    </xf>
    <xf numFmtId="0" fontId="0" fillId="0" borderId="14" xfId="0" applyBorder="1"/>
    <xf numFmtId="3" fontId="0" fillId="0" borderId="17" xfId="0" applyNumberFormat="1" applyBorder="1"/>
    <xf numFmtId="3" fontId="0" fillId="0" borderId="14" xfId="0" applyNumberFormat="1" applyBorder="1"/>
    <xf numFmtId="0" fontId="0" fillId="3" borderId="14" xfId="0" applyFill="1" applyBorder="1" applyAlignment="1">
      <alignment horizontal="center"/>
    </xf>
    <xf numFmtId="0" fontId="0" fillId="0" borderId="17" xfId="0" applyBorder="1"/>
    <xf numFmtId="0" fontId="0" fillId="3" borderId="7" xfId="0" applyFill="1" applyBorder="1" applyAlignment="1">
      <alignment horizontal="center"/>
    </xf>
    <xf numFmtId="0" fontId="0" fillId="3" borderId="12" xfId="0" applyFill="1" applyBorder="1" applyAlignment="1">
      <alignment horizontal="center"/>
    </xf>
    <xf numFmtId="0" fontId="1" fillId="3" borderId="7" xfId="0" applyFont="1" applyFill="1" applyBorder="1" applyAlignment="1">
      <alignment horizontal="center"/>
    </xf>
    <xf numFmtId="0" fontId="1" fillId="3" borderId="12" xfId="0" applyFont="1" applyFill="1" applyBorder="1" applyAlignment="1">
      <alignment horizontal="center"/>
    </xf>
    <xf numFmtId="0" fontId="1" fillId="3" borderId="9" xfId="0" applyFont="1" applyFill="1" applyBorder="1" applyAlignment="1">
      <alignment horizontal="center"/>
    </xf>
    <xf numFmtId="0" fontId="1" fillId="3" borderId="13" xfId="0" applyFont="1" applyFill="1" applyBorder="1" applyAlignment="1">
      <alignment horizontal="center"/>
    </xf>
    <xf numFmtId="0" fontId="1" fillId="0" borderId="10" xfId="0" applyFont="1" applyBorder="1"/>
    <xf numFmtId="0" fontId="0" fillId="0" borderId="7" xfId="0" applyBorder="1"/>
    <xf numFmtId="0" fontId="0" fillId="3" borderId="8" xfId="0" applyFill="1" applyBorder="1" applyAlignment="1">
      <alignment horizontal="center"/>
    </xf>
    <xf numFmtId="0" fontId="0" fillId="0" borderId="0" xfId="0" applyAlignment="1">
      <alignment wrapText="1"/>
    </xf>
    <xf numFmtId="0" fontId="0" fillId="4" borderId="12" xfId="0" applyFill="1" applyBorder="1"/>
    <xf numFmtId="3" fontId="1" fillId="0" borderId="12" xfId="0" applyNumberFormat="1" applyFont="1" applyBorder="1" applyAlignment="1">
      <alignment horizontal="right"/>
    </xf>
    <xf numFmtId="9" fontId="1" fillId="0" borderId="12" xfId="0" applyNumberFormat="1" applyFont="1" applyBorder="1" applyAlignment="1">
      <alignment horizontal="right"/>
    </xf>
    <xf numFmtId="3" fontId="1" fillId="0" borderId="14" xfId="0" applyNumberFormat="1" applyFont="1" applyBorder="1" applyAlignment="1">
      <alignment horizontal="right"/>
    </xf>
    <xf numFmtId="0" fontId="1" fillId="0" borderId="12" xfId="0" applyFont="1" applyBorder="1" applyAlignment="1">
      <alignment horizontal="right"/>
    </xf>
    <xf numFmtId="3" fontId="0" fillId="0" borderId="0" xfId="0" applyNumberFormat="1" applyAlignment="1">
      <alignment horizontal="right"/>
    </xf>
    <xf numFmtId="0" fontId="0" fillId="0" borderId="5" xfId="0" applyBorder="1" applyAlignment="1">
      <alignment wrapText="1"/>
    </xf>
    <xf numFmtId="0" fontId="0" fillId="0" borderId="3" xfId="0" applyBorder="1" applyAlignment="1">
      <alignment wrapText="1"/>
    </xf>
    <xf numFmtId="0" fontId="1" fillId="3" borderId="19" xfId="0" applyFont="1" applyFill="1" applyBorder="1" applyAlignment="1">
      <alignment horizontal="center"/>
    </xf>
    <xf numFmtId="3" fontId="1" fillId="0" borderId="17" xfId="0" applyNumberFormat="1" applyFont="1" applyBorder="1"/>
    <xf numFmtId="3" fontId="1" fillId="0" borderId="14" xfId="0" applyNumberFormat="1" applyFont="1" applyBorder="1"/>
    <xf numFmtId="0" fontId="1" fillId="3" borderId="14" xfId="0" applyFont="1" applyFill="1" applyBorder="1" applyAlignment="1">
      <alignment horizontal="center"/>
    </xf>
    <xf numFmtId="0" fontId="1" fillId="0" borderId="17" xfId="0" applyFont="1" applyBorder="1"/>
    <xf numFmtId="3" fontId="1" fillId="5" borderId="12" xfId="0" applyNumberFormat="1" applyFont="1" applyFill="1" applyBorder="1"/>
    <xf numFmtId="3" fontId="1" fillId="5" borderId="0" xfId="0" applyNumberFormat="1" applyFont="1" applyFill="1"/>
    <xf numFmtId="0" fontId="0" fillId="3" borderId="9" xfId="0" applyFill="1" applyBorder="1" applyAlignment="1">
      <alignment horizontal="center"/>
    </xf>
    <xf numFmtId="3" fontId="0" fillId="0" borderId="10" xfId="0" applyNumberFormat="1" applyBorder="1"/>
    <xf numFmtId="3" fontId="0" fillId="0" borderId="13" xfId="0" applyNumberFormat="1" applyBorder="1"/>
    <xf numFmtId="0" fontId="0" fillId="3" borderId="13" xfId="0" applyFill="1" applyBorder="1" applyAlignment="1">
      <alignment horizontal="center"/>
    </xf>
    <xf numFmtId="0" fontId="0" fillId="0" borderId="10" xfId="0" applyBorder="1"/>
    <xf numFmtId="0" fontId="1" fillId="3" borderId="8" xfId="0" applyFont="1" applyFill="1" applyBorder="1" applyAlignment="1">
      <alignment horizontal="center"/>
    </xf>
    <xf numFmtId="0" fontId="1" fillId="0" borderId="9" xfId="0" applyFont="1" applyBorder="1"/>
    <xf numFmtId="3" fontId="1" fillId="5" borderId="10" xfId="0" applyNumberFormat="1" applyFont="1" applyFill="1" applyBorder="1"/>
    <xf numFmtId="3" fontId="1" fillId="5" borderId="13" xfId="0" applyNumberFormat="1" applyFont="1" applyFill="1" applyBorder="1"/>
    <xf numFmtId="0" fontId="1" fillId="5" borderId="11" xfId="0" applyFont="1" applyFill="1" applyBorder="1" applyAlignment="1">
      <alignment horizontal="center"/>
    </xf>
    <xf numFmtId="3" fontId="1" fillId="5" borderId="11" xfId="0" applyNumberFormat="1" applyFont="1" applyFill="1" applyBorder="1"/>
    <xf numFmtId="0" fontId="0" fillId="0" borderId="0" xfId="0" applyAlignment="1">
      <alignment horizontal="center" wrapText="1"/>
    </xf>
    <xf numFmtId="0" fontId="4" fillId="0" borderId="0" xfId="0" applyFont="1"/>
    <xf numFmtId="0" fontId="0" fillId="0" borderId="20" xfId="0" applyBorder="1" applyAlignment="1">
      <alignment horizontal="center"/>
    </xf>
    <xf numFmtId="0" fontId="0" fillId="0" borderId="20" xfId="0" applyBorder="1" applyAlignment="1">
      <alignment horizontal="center" vertical="top"/>
    </xf>
    <xf numFmtId="0" fontId="5" fillId="6" borderId="20" xfId="0" applyFont="1" applyFill="1" applyBorder="1" applyAlignment="1">
      <alignment horizontal="center" vertical="top"/>
    </xf>
    <xf numFmtId="0" fontId="0" fillId="0" borderId="23" xfId="0" applyBorder="1" applyAlignment="1">
      <alignment horizontal="center" vertical="top"/>
    </xf>
    <xf numFmtId="0" fontId="5" fillId="6" borderId="23" xfId="0" applyFont="1" applyFill="1" applyBorder="1" applyAlignment="1">
      <alignment horizontal="center" vertical="top"/>
    </xf>
    <xf numFmtId="0" fontId="0" fillId="0" borderId="23" xfId="0" applyBorder="1" applyAlignment="1">
      <alignment horizontal="center"/>
    </xf>
    <xf numFmtId="10" fontId="1" fillId="0" borderId="12" xfId="1" applyNumberFormat="1" applyFont="1" applyBorder="1" applyAlignment="1">
      <alignment horizontal="left"/>
    </xf>
    <xf numFmtId="10" fontId="1" fillId="0" borderId="12" xfId="0" applyNumberFormat="1" applyFont="1" applyBorder="1" applyAlignment="1">
      <alignment horizontal="left"/>
    </xf>
    <xf numFmtId="10" fontId="1" fillId="0" borderId="13" xfId="0" applyNumberFormat="1" applyFont="1" applyBorder="1" applyAlignment="1">
      <alignment horizontal="left"/>
    </xf>
    <xf numFmtId="0" fontId="0" fillId="4" borderId="12" xfId="0" applyFill="1" applyBorder="1" applyAlignment="1">
      <alignment vertical="top"/>
    </xf>
    <xf numFmtId="0" fontId="1" fillId="0" borderId="3" xfId="0" applyFont="1" applyBorder="1" applyAlignment="1">
      <alignment horizontal="center" vertical="center" wrapText="1"/>
    </xf>
    <xf numFmtId="4" fontId="0" fillId="0" borderId="12" xfId="0" applyNumberFormat="1" applyBorder="1"/>
    <xf numFmtId="0" fontId="1" fillId="0" borderId="0" xfId="0" applyFont="1" applyAlignment="1">
      <alignment horizontal="center"/>
    </xf>
    <xf numFmtId="0" fontId="1" fillId="0" borderId="10" xfId="0" applyFont="1" applyBorder="1" applyAlignment="1">
      <alignment horizontal="center"/>
    </xf>
    <xf numFmtId="0" fontId="4" fillId="0" borderId="0" xfId="0" applyFont="1" applyAlignment="1">
      <alignment horizontal="center"/>
    </xf>
    <xf numFmtId="0" fontId="1" fillId="0" borderId="4" xfId="0" applyFont="1" applyBorder="1" applyAlignment="1">
      <alignment horizontal="center"/>
    </xf>
    <xf numFmtId="0" fontId="1" fillId="0" borderId="5" xfId="0" applyFont="1" applyBorder="1" applyAlignment="1">
      <alignment horizontal="center"/>
    </xf>
    <xf numFmtId="0" fontId="1" fillId="0" borderId="15" xfId="0" applyFont="1" applyBorder="1" applyAlignment="1">
      <alignment horizontal="center"/>
    </xf>
    <xf numFmtId="3" fontId="1" fillId="0" borderId="7" xfId="0" applyNumberFormat="1" applyFont="1" applyBorder="1" applyAlignment="1">
      <alignment horizontal="center"/>
    </xf>
    <xf numFmtId="3" fontId="1" fillId="0" borderId="0" xfId="0" applyNumberFormat="1" applyFont="1" applyAlignment="1">
      <alignment horizontal="center"/>
    </xf>
    <xf numFmtId="3" fontId="1" fillId="0" borderId="8" xfId="0" applyNumberFormat="1" applyFont="1" applyBorder="1" applyAlignment="1">
      <alignment horizontal="center"/>
    </xf>
    <xf numFmtId="0" fontId="1" fillId="0" borderId="6" xfId="0" applyFont="1" applyBorder="1" applyAlignment="1">
      <alignment horizontal="center"/>
    </xf>
    <xf numFmtId="0" fontId="3" fillId="0" borderId="0" xfId="0" applyFont="1" applyAlignment="1">
      <alignment horizontal="center"/>
    </xf>
    <xf numFmtId="0" fontId="4" fillId="0" borderId="10" xfId="0" applyFont="1" applyBorder="1" applyAlignment="1">
      <alignment horizontal="center"/>
    </xf>
    <xf numFmtId="0" fontId="1" fillId="0" borderId="0" xfId="0" applyFont="1" applyAlignment="1">
      <alignment horizontal="left" vertical="top" wrapText="1"/>
    </xf>
    <xf numFmtId="0" fontId="7" fillId="0" borderId="20" xfId="0" applyFont="1" applyBorder="1" applyAlignment="1">
      <alignment horizontal="center" vertical="top" wrapText="1"/>
    </xf>
    <xf numFmtId="0" fontId="1" fillId="0" borderId="20" xfId="0" applyFont="1" applyBorder="1" applyAlignment="1">
      <alignment horizontal="center"/>
    </xf>
    <xf numFmtId="0" fontId="7" fillId="0" borderId="20" xfId="0" applyFont="1" applyBorder="1" applyAlignment="1">
      <alignment horizontal="center" vertical="top"/>
    </xf>
    <xf numFmtId="0" fontId="0" fillId="0" borderId="20" xfId="0" applyBorder="1" applyAlignment="1">
      <alignment horizontal="center" vertical="top"/>
    </xf>
    <xf numFmtId="0" fontId="6" fillId="0" borderId="21" xfId="0" applyFont="1" applyBorder="1" applyAlignment="1">
      <alignment horizontal="right" vertical="top"/>
    </xf>
    <xf numFmtId="0" fontId="6" fillId="0" borderId="22" xfId="0" applyFont="1" applyBorder="1" applyAlignment="1">
      <alignment horizontal="right" vertical="top"/>
    </xf>
    <xf numFmtId="0" fontId="6" fillId="0" borderId="23" xfId="0" applyFont="1" applyBorder="1" applyAlignment="1">
      <alignment horizontal="right" vertical="top"/>
    </xf>
    <xf numFmtId="0" fontId="6" fillId="0" borderId="20" xfId="0" applyFont="1" applyBorder="1" applyAlignment="1">
      <alignment horizontal="center" vertical="top"/>
    </xf>
    <xf numFmtId="0" fontId="8" fillId="0" borderId="21" xfId="0" applyFont="1" applyBorder="1" applyAlignment="1">
      <alignment horizontal="center" vertical="top"/>
    </xf>
    <xf numFmtId="0" fontId="8" fillId="0" borderId="22" xfId="0" applyFont="1" applyBorder="1" applyAlignment="1">
      <alignment horizontal="center" vertical="top"/>
    </xf>
    <xf numFmtId="0" fontId="8" fillId="0" borderId="23" xfId="0" applyFont="1" applyBorder="1" applyAlignment="1">
      <alignment horizontal="center" vertical="top"/>
    </xf>
    <xf numFmtId="0" fontId="0" fillId="0" borderId="21" xfId="0" applyBorder="1" applyAlignment="1">
      <alignment horizontal="center" vertical="top"/>
    </xf>
    <xf numFmtId="0" fontId="0" fillId="0" borderId="22" xfId="0" applyBorder="1" applyAlignment="1">
      <alignment horizontal="center" vertical="top"/>
    </xf>
    <xf numFmtId="0" fontId="0" fillId="0" borderId="23" xfId="0" applyBorder="1" applyAlignment="1">
      <alignment horizontal="center" vertical="top"/>
    </xf>
    <xf numFmtId="0" fontId="4" fillId="0" borderId="24" xfId="0" applyFont="1" applyBorder="1" applyAlignment="1">
      <alignment horizontal="center"/>
    </xf>
    <xf numFmtId="0" fontId="5" fillId="6" borderId="21" xfId="0" applyFont="1" applyFill="1" applyBorder="1" applyAlignment="1">
      <alignment horizontal="center" vertical="top"/>
    </xf>
    <xf numFmtId="0" fontId="5" fillId="6" borderId="22" xfId="0" applyFont="1" applyFill="1" applyBorder="1" applyAlignment="1">
      <alignment horizontal="center" vertical="top"/>
    </xf>
    <xf numFmtId="0" fontId="5" fillId="6" borderId="23" xfId="0" applyFont="1" applyFill="1" applyBorder="1" applyAlignment="1">
      <alignment horizontal="center" vertical="top"/>
    </xf>
    <xf numFmtId="0" fontId="0" fillId="0" borderId="21" xfId="0" applyBorder="1" applyAlignment="1">
      <alignment horizontal="center"/>
    </xf>
    <xf numFmtId="0" fontId="0" fillId="0" borderId="22" xfId="0" applyBorder="1" applyAlignment="1">
      <alignment horizontal="center"/>
    </xf>
    <xf numFmtId="0" fontId="0" fillId="0" borderId="23" xfId="0" applyBorder="1" applyAlignment="1">
      <alignment horizontal="center"/>
    </xf>
    <xf numFmtId="0" fontId="5" fillId="0" borderId="20" xfId="0" applyFont="1" applyBorder="1" applyAlignment="1">
      <alignment horizontal="center" vertical="top" wrapText="1"/>
    </xf>
    <xf numFmtId="0" fontId="0" fillId="0" borderId="20" xfId="0" applyBorder="1" applyAlignment="1">
      <alignment horizontal="center"/>
    </xf>
    <xf numFmtId="0" fontId="5" fillId="0" borderId="20" xfId="0" applyFont="1" applyBorder="1" applyAlignment="1">
      <alignment horizontal="center" vertical="top"/>
    </xf>
  </cellXfs>
  <cellStyles count="2">
    <cellStyle name="Normal" xfId="0" builtinId="0"/>
    <cellStyle name="Pourcentag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K49"/>
  <sheetViews>
    <sheetView view="pageBreakPreview" zoomScale="70" zoomScaleNormal="100" zoomScaleSheetLayoutView="70" workbookViewId="0">
      <selection activeCell="G22" sqref="G22"/>
    </sheetView>
  </sheetViews>
  <sheetFormatPr baseColWidth="10" defaultColWidth="8.88671875" defaultRowHeight="14.4" x14ac:dyDescent="0.3"/>
  <cols>
    <col min="3" max="3" width="44.109375" customWidth="1"/>
    <col min="4" max="4" width="17" customWidth="1"/>
    <col min="5" max="5" width="15.109375" customWidth="1"/>
    <col min="6" max="6" width="12.6640625" style="10" customWidth="1"/>
    <col min="7" max="7" width="14.109375" customWidth="1"/>
    <col min="8" max="9" width="13.33203125" customWidth="1"/>
    <col min="10" max="10" width="17" customWidth="1"/>
    <col min="11" max="11" width="16.5546875" customWidth="1"/>
  </cols>
  <sheetData>
    <row r="2" spans="2:11" x14ac:dyDescent="0.3">
      <c r="E2" s="146" t="s">
        <v>90</v>
      </c>
      <c r="F2" s="146"/>
      <c r="G2" s="146"/>
    </row>
    <row r="3" spans="2:11" x14ac:dyDescent="0.3">
      <c r="B3" s="1" t="s">
        <v>248</v>
      </c>
    </row>
    <row r="4" spans="2:11" s="1" customFormat="1" ht="15" thickBot="1" x14ac:dyDescent="0.35">
      <c r="F4" s="9" t="s">
        <v>26</v>
      </c>
    </row>
    <row r="5" spans="2:11" ht="29.4" thickBot="1" x14ac:dyDescent="0.35">
      <c r="B5" s="23" t="s">
        <v>0</v>
      </c>
      <c r="C5" s="23" t="s">
        <v>1</v>
      </c>
      <c r="D5" s="23" t="s">
        <v>2</v>
      </c>
      <c r="E5" s="23" t="s">
        <v>3</v>
      </c>
      <c r="F5" s="45" t="s">
        <v>4</v>
      </c>
      <c r="G5" s="48" t="s">
        <v>24</v>
      </c>
      <c r="H5" s="23" t="s">
        <v>25</v>
      </c>
      <c r="I5" s="23" t="s">
        <v>5</v>
      </c>
      <c r="J5" s="48" t="s">
        <v>6</v>
      </c>
      <c r="K5" s="48" t="s">
        <v>41</v>
      </c>
    </row>
    <row r="6" spans="2:11" s="2" customFormat="1" x14ac:dyDescent="0.3">
      <c r="B6" s="24">
        <v>70</v>
      </c>
      <c r="C6" s="24" t="s">
        <v>8</v>
      </c>
      <c r="D6" s="40">
        <f>D7</f>
        <v>1017922</v>
      </c>
      <c r="E6" s="40">
        <f t="shared" ref="E6:I6" si="0">E7</f>
        <v>0</v>
      </c>
      <c r="F6" s="40">
        <f t="shared" si="0"/>
        <v>0</v>
      </c>
      <c r="G6" s="40">
        <f t="shared" si="0"/>
        <v>1017922</v>
      </c>
      <c r="H6" s="40">
        <f t="shared" si="0"/>
        <v>1120920</v>
      </c>
      <c r="I6" s="40">
        <f t="shared" si="0"/>
        <v>1120920</v>
      </c>
      <c r="J6" s="40">
        <f>H6-I6</f>
        <v>0</v>
      </c>
      <c r="K6" s="49">
        <f>H6/G6</f>
        <v>1.1011845701340575</v>
      </c>
    </row>
    <row r="7" spans="2:11" x14ac:dyDescent="0.3">
      <c r="B7" s="25">
        <v>7080</v>
      </c>
      <c r="C7" s="25" t="s">
        <v>9</v>
      </c>
      <c r="D7" s="41">
        <v>1017922</v>
      </c>
      <c r="E7" s="41">
        <v>0</v>
      </c>
      <c r="F7" s="46"/>
      <c r="G7" s="41">
        <v>1017922</v>
      </c>
      <c r="H7" s="41">
        <v>1120920</v>
      </c>
      <c r="I7" s="41">
        <v>1120920</v>
      </c>
      <c r="J7" s="43">
        <f>H7-I7</f>
        <v>0</v>
      </c>
      <c r="K7" s="50">
        <f>H7/G7</f>
        <v>1.1011845701340575</v>
      </c>
    </row>
    <row r="8" spans="2:11" s="2" customFormat="1" x14ac:dyDescent="0.3">
      <c r="B8" s="24">
        <v>71</v>
      </c>
      <c r="C8" s="24" t="s">
        <v>10</v>
      </c>
      <c r="D8" s="40">
        <f>SUM(D9:D12)</f>
        <v>18372384</v>
      </c>
      <c r="E8" s="40">
        <f t="shared" ref="E8:J8" si="1">SUM(E9:E12)</f>
        <v>0</v>
      </c>
      <c r="F8" s="40">
        <f t="shared" si="1"/>
        <v>0</v>
      </c>
      <c r="G8" s="40">
        <f t="shared" si="1"/>
        <v>18372384</v>
      </c>
      <c r="H8" s="40">
        <f t="shared" si="1"/>
        <v>3447000</v>
      </c>
      <c r="I8" s="40">
        <f>SUM(I9:I12)</f>
        <v>3447000</v>
      </c>
      <c r="J8" s="40">
        <f t="shared" si="1"/>
        <v>0</v>
      </c>
      <c r="K8" s="49">
        <f t="shared" ref="K8:K37" si="2">H8/G8</f>
        <v>0.18761854748953646</v>
      </c>
    </row>
    <row r="9" spans="2:11" x14ac:dyDescent="0.3">
      <c r="B9" s="25">
        <v>7140</v>
      </c>
      <c r="C9" s="25" t="s">
        <v>11</v>
      </c>
      <c r="D9" s="41">
        <v>9668184</v>
      </c>
      <c r="E9" s="41"/>
      <c r="F9" s="46"/>
      <c r="G9" s="41">
        <v>9668184</v>
      </c>
      <c r="H9" s="41">
        <v>1900000</v>
      </c>
      <c r="I9" s="41">
        <v>1900000</v>
      </c>
      <c r="J9" s="43">
        <f>H9-I9</f>
        <v>0</v>
      </c>
      <c r="K9" s="50">
        <f t="shared" si="2"/>
        <v>0.19652087713680252</v>
      </c>
    </row>
    <row r="10" spans="2:11" x14ac:dyDescent="0.3">
      <c r="B10" s="25">
        <v>7151</v>
      </c>
      <c r="C10" s="25" t="s">
        <v>12</v>
      </c>
      <c r="D10" s="41">
        <v>1234200</v>
      </c>
      <c r="E10" s="41"/>
      <c r="F10" s="46"/>
      <c r="G10" s="41">
        <v>1234200</v>
      </c>
      <c r="H10" s="41">
        <v>300000</v>
      </c>
      <c r="I10" s="41">
        <v>300000</v>
      </c>
      <c r="J10" s="43">
        <f>H10-I10</f>
        <v>0</v>
      </c>
      <c r="K10" s="50">
        <f t="shared" si="2"/>
        <v>0.24307243558580457</v>
      </c>
    </row>
    <row r="11" spans="2:11" x14ac:dyDescent="0.3">
      <c r="B11" s="25">
        <v>7182</v>
      </c>
      <c r="C11" s="106" t="s">
        <v>133</v>
      </c>
      <c r="D11" s="41">
        <v>70000</v>
      </c>
      <c r="E11" s="41"/>
      <c r="F11" s="46"/>
      <c r="G11" s="41">
        <v>70000</v>
      </c>
      <c r="H11" s="41">
        <v>50000</v>
      </c>
      <c r="I11" s="41">
        <v>50000</v>
      </c>
      <c r="J11" s="43"/>
      <c r="K11" s="50">
        <f t="shared" si="2"/>
        <v>0.7142857142857143</v>
      </c>
    </row>
    <row r="12" spans="2:11" ht="18" customHeight="1" x14ac:dyDescent="0.3">
      <c r="B12" s="25">
        <v>7188</v>
      </c>
      <c r="C12" s="143" t="s">
        <v>223</v>
      </c>
      <c r="D12" s="41">
        <v>7400000</v>
      </c>
      <c r="E12" s="41"/>
      <c r="F12" s="46"/>
      <c r="G12" s="41">
        <v>7400000</v>
      </c>
      <c r="H12" s="41">
        <v>1197000</v>
      </c>
      <c r="I12" s="41">
        <v>1197000</v>
      </c>
      <c r="J12" s="43"/>
      <c r="K12" s="50"/>
    </row>
    <row r="13" spans="2:11" s="2" customFormat="1" x14ac:dyDescent="0.3">
      <c r="B13" s="24">
        <v>72</v>
      </c>
      <c r="C13" s="24" t="s">
        <v>13</v>
      </c>
      <c r="D13" s="40">
        <f t="shared" ref="D13:I13" si="3">SUM(D14:D19)</f>
        <v>4180000</v>
      </c>
      <c r="E13" s="40">
        <f t="shared" si="3"/>
        <v>0</v>
      </c>
      <c r="F13" s="40">
        <f t="shared" si="3"/>
        <v>0</v>
      </c>
      <c r="G13" s="40">
        <f t="shared" si="3"/>
        <v>4180000</v>
      </c>
      <c r="H13" s="40">
        <f t="shared" si="3"/>
        <v>1220000</v>
      </c>
      <c r="I13" s="40">
        <f t="shared" si="3"/>
        <v>1220000</v>
      </c>
      <c r="J13" s="40">
        <f>H13-I13</f>
        <v>0</v>
      </c>
      <c r="K13" s="49">
        <f t="shared" si="2"/>
        <v>0.291866028708134</v>
      </c>
    </row>
    <row r="14" spans="2:11" s="2" customFormat="1" x14ac:dyDescent="0.3">
      <c r="B14" s="26">
        <v>7261</v>
      </c>
      <c r="C14" s="30" t="s">
        <v>134</v>
      </c>
      <c r="D14" s="42">
        <v>50000</v>
      </c>
      <c r="E14" s="68"/>
      <c r="F14" s="68"/>
      <c r="G14" s="42">
        <v>50000</v>
      </c>
      <c r="H14" s="68"/>
      <c r="I14" s="68"/>
      <c r="J14" s="68"/>
      <c r="K14" s="49"/>
    </row>
    <row r="15" spans="2:11" x14ac:dyDescent="0.3">
      <c r="B15" s="25">
        <v>7262</v>
      </c>
      <c r="C15" s="25" t="s">
        <v>14</v>
      </c>
      <c r="D15" s="41">
        <v>1400000</v>
      </c>
      <c r="E15" s="41"/>
      <c r="F15" s="46"/>
      <c r="G15" s="41">
        <v>1400000</v>
      </c>
      <c r="H15" s="41">
        <v>200000</v>
      </c>
      <c r="I15" s="41">
        <v>200000</v>
      </c>
      <c r="J15" s="43">
        <f t="shared" ref="J15:J34" si="4">H15-I15</f>
        <v>0</v>
      </c>
      <c r="K15" s="50">
        <f t="shared" si="2"/>
        <v>0.14285714285714285</v>
      </c>
    </row>
    <row r="16" spans="2:11" x14ac:dyDescent="0.3">
      <c r="B16" s="25">
        <v>7263</v>
      </c>
      <c r="C16" s="25" t="s">
        <v>15</v>
      </c>
      <c r="D16" s="41"/>
      <c r="E16" s="41"/>
      <c r="F16" s="46"/>
      <c r="G16" s="41"/>
      <c r="H16" s="41"/>
      <c r="I16" s="41"/>
      <c r="J16" s="43">
        <f t="shared" si="4"/>
        <v>0</v>
      </c>
      <c r="K16" s="50"/>
    </row>
    <row r="17" spans="2:11" x14ac:dyDescent="0.3">
      <c r="B17" s="25">
        <v>7273</v>
      </c>
      <c r="C17" s="25" t="s">
        <v>135</v>
      </c>
      <c r="D17" s="41"/>
      <c r="E17" s="41"/>
      <c r="F17" s="46"/>
      <c r="G17" s="41"/>
      <c r="H17" s="41"/>
      <c r="I17" s="41"/>
      <c r="J17" s="43">
        <f t="shared" si="4"/>
        <v>0</v>
      </c>
      <c r="K17" s="50"/>
    </row>
    <row r="18" spans="2:11" x14ac:dyDescent="0.3">
      <c r="B18" s="25">
        <v>7276</v>
      </c>
      <c r="C18" s="25" t="s">
        <v>136</v>
      </c>
      <c r="D18" s="41">
        <v>1500000</v>
      </c>
      <c r="E18" s="41"/>
      <c r="F18" s="46"/>
      <c r="G18" s="41">
        <v>1500000</v>
      </c>
      <c r="H18" s="41">
        <v>800000</v>
      </c>
      <c r="I18" s="41">
        <v>800000</v>
      </c>
      <c r="J18" s="43">
        <f t="shared" si="4"/>
        <v>0</v>
      </c>
      <c r="K18" s="50">
        <f t="shared" si="2"/>
        <v>0.53333333333333333</v>
      </c>
    </row>
    <row r="19" spans="2:11" x14ac:dyDescent="0.3">
      <c r="B19" s="25">
        <v>7280</v>
      </c>
      <c r="C19" s="25" t="s">
        <v>141</v>
      </c>
      <c r="D19" s="41">
        <v>1230000</v>
      </c>
      <c r="E19" s="41"/>
      <c r="F19" s="46"/>
      <c r="G19" s="41">
        <v>1230000</v>
      </c>
      <c r="H19" s="41">
        <v>220000</v>
      </c>
      <c r="I19" s="41">
        <v>220000</v>
      </c>
      <c r="J19" s="43"/>
      <c r="K19" s="50"/>
    </row>
    <row r="20" spans="2:11" x14ac:dyDescent="0.3">
      <c r="B20" s="24">
        <v>74</v>
      </c>
      <c r="C20" s="28" t="s">
        <v>106</v>
      </c>
      <c r="D20" s="40">
        <f>SUM(D21)</f>
        <v>3500000</v>
      </c>
      <c r="E20" s="40">
        <f t="shared" ref="E20:J20" si="5">SUM(E21)</f>
        <v>0</v>
      </c>
      <c r="F20" s="40">
        <f t="shared" si="5"/>
        <v>0</v>
      </c>
      <c r="G20" s="40">
        <f t="shared" si="5"/>
        <v>3500000</v>
      </c>
      <c r="H20" s="40">
        <f t="shared" si="5"/>
        <v>0</v>
      </c>
      <c r="I20" s="40">
        <f t="shared" si="5"/>
        <v>0</v>
      </c>
      <c r="J20" s="40">
        <f>SUM(J21)</f>
        <v>0</v>
      </c>
      <c r="K20" s="50"/>
    </row>
    <row r="21" spans="2:11" x14ac:dyDescent="0.3">
      <c r="B21" s="25">
        <v>7480</v>
      </c>
      <c r="C21" s="25" t="s">
        <v>224</v>
      </c>
      <c r="D21" s="41">
        <v>3500000</v>
      </c>
      <c r="E21" s="41"/>
      <c r="F21" s="46"/>
      <c r="G21" s="41">
        <v>3500000</v>
      </c>
      <c r="H21" s="41"/>
      <c r="I21" s="41"/>
      <c r="J21" s="43"/>
      <c r="K21" s="50"/>
    </row>
    <row r="22" spans="2:11" s="2" customFormat="1" x14ac:dyDescent="0.3">
      <c r="B22" s="24">
        <v>75</v>
      </c>
      <c r="C22" s="24" t="s">
        <v>17</v>
      </c>
      <c r="D22" s="40">
        <f>SUM(D23:D27)</f>
        <v>44456000</v>
      </c>
      <c r="E22" s="40">
        <f t="shared" ref="E22:J22" si="6">SUM(E23:E27)</f>
        <v>0</v>
      </c>
      <c r="F22" s="40">
        <f t="shared" si="6"/>
        <v>0</v>
      </c>
      <c r="G22" s="40">
        <f t="shared" si="6"/>
        <v>44456000</v>
      </c>
      <c r="H22" s="40">
        <f t="shared" si="6"/>
        <v>33756000</v>
      </c>
      <c r="I22" s="40">
        <f t="shared" si="6"/>
        <v>33756000</v>
      </c>
      <c r="J22" s="40">
        <f t="shared" si="6"/>
        <v>0</v>
      </c>
      <c r="K22" s="49">
        <f t="shared" si="2"/>
        <v>0.75931257872953029</v>
      </c>
    </row>
    <row r="23" spans="2:11" s="7" customFormat="1" x14ac:dyDescent="0.3">
      <c r="B23" s="26">
        <v>7511</v>
      </c>
      <c r="C23" s="30" t="s">
        <v>37</v>
      </c>
      <c r="D23" s="42">
        <v>1100000</v>
      </c>
      <c r="E23" s="42"/>
      <c r="F23" s="46"/>
      <c r="G23" s="42">
        <v>1100000</v>
      </c>
      <c r="H23" s="42">
        <v>1100000</v>
      </c>
      <c r="I23" s="42">
        <v>1100000</v>
      </c>
      <c r="J23" s="43">
        <f t="shared" si="4"/>
        <v>0</v>
      </c>
      <c r="K23" s="50">
        <f t="shared" si="2"/>
        <v>1</v>
      </c>
    </row>
    <row r="24" spans="2:11" s="7" customFormat="1" x14ac:dyDescent="0.3">
      <c r="B24" s="26">
        <v>7512</v>
      </c>
      <c r="C24" s="30" t="s">
        <v>38</v>
      </c>
      <c r="D24" s="42">
        <v>7800000</v>
      </c>
      <c r="E24" s="42"/>
      <c r="F24" s="46"/>
      <c r="G24" s="42">
        <v>7800000</v>
      </c>
      <c r="H24" s="42">
        <v>1600000</v>
      </c>
      <c r="I24" s="42">
        <v>1600000</v>
      </c>
      <c r="J24" s="43">
        <f t="shared" si="4"/>
        <v>0</v>
      </c>
      <c r="K24" s="50">
        <f t="shared" si="2"/>
        <v>0.20512820512820512</v>
      </c>
    </row>
    <row r="25" spans="2:11" s="7" customFormat="1" x14ac:dyDescent="0.3">
      <c r="B25" s="26">
        <v>7513</v>
      </c>
      <c r="C25" s="30" t="s">
        <v>39</v>
      </c>
      <c r="D25" s="42">
        <v>1056000</v>
      </c>
      <c r="E25" s="42"/>
      <c r="F25" s="46"/>
      <c r="G25" s="42">
        <v>1056000</v>
      </c>
      <c r="H25" s="42">
        <v>1056000</v>
      </c>
      <c r="I25" s="42">
        <v>1056000</v>
      </c>
      <c r="J25" s="43">
        <f t="shared" si="4"/>
        <v>0</v>
      </c>
      <c r="K25" s="50">
        <f t="shared" si="2"/>
        <v>1</v>
      </c>
    </row>
    <row r="26" spans="2:11" s="7" customFormat="1" x14ac:dyDescent="0.3">
      <c r="B26" s="26">
        <v>7518</v>
      </c>
      <c r="C26" s="30" t="s">
        <v>40</v>
      </c>
      <c r="D26" s="42">
        <v>30000000</v>
      </c>
      <c r="E26" s="42"/>
      <c r="F26" s="46"/>
      <c r="G26" s="42">
        <v>30000000</v>
      </c>
      <c r="H26" s="42">
        <v>30000000</v>
      </c>
      <c r="I26" s="42">
        <v>30000000</v>
      </c>
      <c r="J26" s="43">
        <f t="shared" si="4"/>
        <v>0</v>
      </c>
      <c r="K26" s="50">
        <f t="shared" si="2"/>
        <v>1</v>
      </c>
    </row>
    <row r="27" spans="2:11" s="7" customFormat="1" x14ac:dyDescent="0.3">
      <c r="B27" s="26">
        <v>7550</v>
      </c>
      <c r="C27" s="30" t="s">
        <v>137</v>
      </c>
      <c r="D27" s="42">
        <v>4500000</v>
      </c>
      <c r="E27" s="42"/>
      <c r="F27" s="46"/>
      <c r="G27" s="42">
        <v>4500000</v>
      </c>
      <c r="H27" s="42">
        <v>0</v>
      </c>
      <c r="I27" s="42"/>
      <c r="J27" s="43">
        <f>H27-I27</f>
        <v>0</v>
      </c>
      <c r="K27" s="50">
        <f t="shared" si="2"/>
        <v>0</v>
      </c>
    </row>
    <row r="28" spans="2:11" s="2" customFormat="1" x14ac:dyDescent="0.3">
      <c r="B28" s="24">
        <v>77</v>
      </c>
      <c r="C28" s="24" t="s">
        <v>16</v>
      </c>
      <c r="D28" s="40">
        <f>SUM(D29:D34)</f>
        <v>19458500</v>
      </c>
      <c r="E28" s="40">
        <f t="shared" ref="E28:I28" si="7">SUM(E29:E34)</f>
        <v>0</v>
      </c>
      <c r="F28" s="40">
        <f t="shared" si="7"/>
        <v>0</v>
      </c>
      <c r="G28" s="40">
        <f t="shared" si="7"/>
        <v>19458500</v>
      </c>
      <c r="H28" s="40">
        <f t="shared" si="7"/>
        <v>12444781</v>
      </c>
      <c r="I28" s="40">
        <f t="shared" si="7"/>
        <v>12444781</v>
      </c>
      <c r="J28" s="40">
        <f t="shared" si="4"/>
        <v>0</v>
      </c>
      <c r="K28" s="49">
        <f t="shared" si="2"/>
        <v>0.63955500167022128</v>
      </c>
    </row>
    <row r="29" spans="2:11" s="2" customFormat="1" x14ac:dyDescent="0.3">
      <c r="B29" s="26">
        <v>7714</v>
      </c>
      <c r="C29" s="30" t="s">
        <v>138</v>
      </c>
      <c r="D29" s="42">
        <v>1705000</v>
      </c>
      <c r="E29" s="42"/>
      <c r="F29" s="42"/>
      <c r="G29" s="42">
        <v>1705000</v>
      </c>
      <c r="H29" s="42">
        <v>550000</v>
      </c>
      <c r="I29" s="42">
        <v>550000</v>
      </c>
      <c r="J29" s="107">
        <f t="shared" si="4"/>
        <v>0</v>
      </c>
      <c r="K29" s="108">
        <f t="shared" si="2"/>
        <v>0.32258064516129031</v>
      </c>
    </row>
    <row r="30" spans="2:11" x14ac:dyDescent="0.3">
      <c r="B30" s="25">
        <v>7717</v>
      </c>
      <c r="C30" s="25" t="s">
        <v>18</v>
      </c>
      <c r="D30" s="41">
        <v>9480000</v>
      </c>
      <c r="E30" s="41"/>
      <c r="F30" s="46"/>
      <c r="G30" s="41">
        <v>9480000</v>
      </c>
      <c r="H30" s="41">
        <v>9394781</v>
      </c>
      <c r="I30" s="41">
        <v>9394781</v>
      </c>
      <c r="J30" s="43">
        <f t="shared" si="4"/>
        <v>0</v>
      </c>
      <c r="K30" s="50">
        <f t="shared" si="2"/>
        <v>0.9910106540084388</v>
      </c>
    </row>
    <row r="31" spans="2:11" x14ac:dyDescent="0.3">
      <c r="B31" s="25">
        <v>7718</v>
      </c>
      <c r="C31" s="25" t="s">
        <v>139</v>
      </c>
      <c r="D31" s="41">
        <v>127500</v>
      </c>
      <c r="E31" s="41"/>
      <c r="F31" s="46"/>
      <c r="G31" s="41">
        <v>127500</v>
      </c>
      <c r="H31" s="41"/>
      <c r="I31" s="41"/>
      <c r="J31" s="43">
        <f t="shared" si="4"/>
        <v>0</v>
      </c>
      <c r="K31" s="50">
        <f t="shared" si="2"/>
        <v>0</v>
      </c>
    </row>
    <row r="32" spans="2:11" x14ac:dyDescent="0.3">
      <c r="B32" s="25">
        <v>7721</v>
      </c>
      <c r="C32" s="25" t="s">
        <v>19</v>
      </c>
      <c r="D32" s="41">
        <v>7740000</v>
      </c>
      <c r="E32" s="41"/>
      <c r="F32" s="46"/>
      <c r="G32" s="41">
        <v>7740000</v>
      </c>
      <c r="H32" s="41">
        <v>2500000</v>
      </c>
      <c r="I32" s="41">
        <v>2500000</v>
      </c>
      <c r="J32" s="43">
        <f t="shared" si="4"/>
        <v>0</v>
      </c>
      <c r="K32" s="50">
        <f t="shared" si="2"/>
        <v>0.32299741602067183</v>
      </c>
    </row>
    <row r="33" spans="2:11" x14ac:dyDescent="0.3">
      <c r="B33" s="25">
        <v>7727</v>
      </c>
      <c r="C33" s="25" t="s">
        <v>140</v>
      </c>
      <c r="D33" s="41"/>
      <c r="E33" s="41"/>
      <c r="F33" s="46"/>
      <c r="G33" s="41"/>
      <c r="H33" s="41"/>
      <c r="I33" s="41"/>
      <c r="J33" s="43">
        <f t="shared" si="4"/>
        <v>0</v>
      </c>
      <c r="K33" s="50"/>
    </row>
    <row r="34" spans="2:11" x14ac:dyDescent="0.3">
      <c r="B34" s="25">
        <v>7732</v>
      </c>
      <c r="C34" s="25" t="s">
        <v>20</v>
      </c>
      <c r="D34" s="41">
        <v>406000</v>
      </c>
      <c r="E34" s="41"/>
      <c r="F34" s="46"/>
      <c r="G34" s="41">
        <v>406000</v>
      </c>
      <c r="H34" s="41"/>
      <c r="I34" s="41"/>
      <c r="J34" s="43">
        <f t="shared" si="4"/>
        <v>0</v>
      </c>
      <c r="K34" s="50">
        <f>H34/G34</f>
        <v>0</v>
      </c>
    </row>
    <row r="35" spans="2:11" s="1" customFormat="1" x14ac:dyDescent="0.3">
      <c r="B35" s="28"/>
      <c r="C35" s="28" t="s">
        <v>21</v>
      </c>
      <c r="D35" s="43">
        <f>D6+D8+D13+D20+D22+D28</f>
        <v>90984806</v>
      </c>
      <c r="E35" s="43">
        <f t="shared" ref="E35:J35" si="8">E6+E8+E13+E20+E22+E28</f>
        <v>0</v>
      </c>
      <c r="F35" s="43">
        <f t="shared" si="8"/>
        <v>0</v>
      </c>
      <c r="G35" s="43">
        <f t="shared" si="8"/>
        <v>90984806</v>
      </c>
      <c r="H35" s="43">
        <f t="shared" si="8"/>
        <v>51988701</v>
      </c>
      <c r="I35" s="43">
        <f t="shared" si="8"/>
        <v>51988701</v>
      </c>
      <c r="J35" s="43">
        <f>J6+J8+J13+J20+J22+J28</f>
        <v>0</v>
      </c>
      <c r="K35" s="49">
        <f t="shared" si="2"/>
        <v>0.57139981152457475</v>
      </c>
    </row>
    <row r="36" spans="2:11" x14ac:dyDescent="0.3">
      <c r="B36" s="25"/>
      <c r="C36" s="25" t="s">
        <v>22</v>
      </c>
      <c r="D36" s="41"/>
      <c r="E36" s="41"/>
      <c r="F36" s="46"/>
      <c r="G36" s="41"/>
      <c r="H36" s="41"/>
      <c r="I36" s="41"/>
      <c r="J36" s="41"/>
      <c r="K36" s="50"/>
    </row>
    <row r="37" spans="2:11" s="1" customFormat="1" x14ac:dyDescent="0.3">
      <c r="B37" s="28"/>
      <c r="C37" s="28" t="s">
        <v>23</v>
      </c>
      <c r="D37" s="43">
        <f>+D35+D36</f>
        <v>90984806</v>
      </c>
      <c r="E37" s="43">
        <f t="shared" ref="E37:J37" si="9">+E35+E36</f>
        <v>0</v>
      </c>
      <c r="F37" s="40">
        <f t="shared" si="9"/>
        <v>0</v>
      </c>
      <c r="G37" s="43">
        <f t="shared" si="9"/>
        <v>90984806</v>
      </c>
      <c r="H37" s="43">
        <f t="shared" si="9"/>
        <v>51988701</v>
      </c>
      <c r="I37" s="43">
        <f t="shared" si="9"/>
        <v>51988701</v>
      </c>
      <c r="J37" s="43">
        <f>+J35+J36</f>
        <v>0</v>
      </c>
      <c r="K37" s="49">
        <f t="shared" si="2"/>
        <v>0.57139981152457475</v>
      </c>
    </row>
    <row r="38" spans="2:11" s="1" customFormat="1" ht="15" thickBot="1" x14ac:dyDescent="0.35">
      <c r="B38" s="28"/>
      <c r="C38" s="28"/>
      <c r="D38" s="28"/>
      <c r="E38" s="28"/>
      <c r="F38" s="47" t="s">
        <v>27</v>
      </c>
      <c r="G38" s="28"/>
      <c r="H38" s="28"/>
      <c r="I38" s="28"/>
      <c r="J38" s="28"/>
      <c r="K38" s="28"/>
    </row>
    <row r="39" spans="2:11" s="1" customFormat="1" ht="29.4" thickBot="1" x14ac:dyDescent="0.35">
      <c r="B39" s="23" t="s">
        <v>0</v>
      </c>
      <c r="C39" s="23" t="s">
        <v>1</v>
      </c>
      <c r="D39" s="23" t="s">
        <v>2</v>
      </c>
      <c r="E39" s="23" t="s">
        <v>3</v>
      </c>
      <c r="F39" s="45" t="s">
        <v>4</v>
      </c>
      <c r="G39" s="48" t="s">
        <v>24</v>
      </c>
      <c r="H39" s="23" t="s">
        <v>25</v>
      </c>
      <c r="I39" s="23" t="s">
        <v>5</v>
      </c>
      <c r="J39" s="48" t="s">
        <v>6</v>
      </c>
      <c r="K39" s="48" t="s">
        <v>7</v>
      </c>
    </row>
    <row r="40" spans="2:11" s="2" customFormat="1" x14ac:dyDescent="0.3">
      <c r="B40" s="24">
        <v>13</v>
      </c>
      <c r="C40" s="24" t="s">
        <v>32</v>
      </c>
      <c r="D40" s="40">
        <f>D41</f>
        <v>30000000</v>
      </c>
      <c r="E40" s="40">
        <f>E41</f>
        <v>0</v>
      </c>
      <c r="F40" s="40">
        <f t="shared" ref="F40:J40" si="10">F41</f>
        <v>0</v>
      </c>
      <c r="G40" s="40">
        <f t="shared" si="10"/>
        <v>30000000</v>
      </c>
      <c r="H40" s="40">
        <f t="shared" si="10"/>
        <v>0</v>
      </c>
      <c r="I40" s="40">
        <f t="shared" si="10"/>
        <v>0</v>
      </c>
      <c r="J40" s="40">
        <f t="shared" si="10"/>
        <v>0</v>
      </c>
      <c r="K40" s="49">
        <f>H40/G40</f>
        <v>0</v>
      </c>
    </row>
    <row r="41" spans="2:11" x14ac:dyDescent="0.3">
      <c r="B41" s="25">
        <v>1311</v>
      </c>
      <c r="C41" s="25" t="s">
        <v>225</v>
      </c>
      <c r="D41" s="41">
        <v>30000000</v>
      </c>
      <c r="E41" s="41"/>
      <c r="F41" s="46"/>
      <c r="G41" s="41">
        <v>30000000</v>
      </c>
      <c r="H41" s="41"/>
      <c r="I41" s="41"/>
      <c r="J41" s="41"/>
      <c r="K41" s="50">
        <f t="shared" ref="K41:K48" si="11">H41/G41</f>
        <v>0</v>
      </c>
    </row>
    <row r="42" spans="2:11" s="2" customFormat="1" x14ac:dyDescent="0.3">
      <c r="B42" s="24">
        <v>14</v>
      </c>
      <c r="C42" s="24" t="s">
        <v>33</v>
      </c>
      <c r="D42" s="40">
        <f>SUM(D43:D44)</f>
        <v>0</v>
      </c>
      <c r="E42" s="40">
        <f t="shared" ref="E42:J42" si="12">SUM(E43:E44)</f>
        <v>0</v>
      </c>
      <c r="F42" s="40">
        <f t="shared" si="12"/>
        <v>0</v>
      </c>
      <c r="G42" s="40">
        <f t="shared" si="12"/>
        <v>0</v>
      </c>
      <c r="H42" s="40">
        <f t="shared" si="12"/>
        <v>0</v>
      </c>
      <c r="I42" s="40">
        <f t="shared" si="12"/>
        <v>0</v>
      </c>
      <c r="J42" s="40">
        <f t="shared" si="12"/>
        <v>0</v>
      </c>
      <c r="K42" s="49">
        <v>0</v>
      </c>
    </row>
    <row r="43" spans="2:11" x14ac:dyDescent="0.3">
      <c r="B43" s="25">
        <v>1421</v>
      </c>
      <c r="C43" s="25" t="s">
        <v>34</v>
      </c>
      <c r="D43" s="41"/>
      <c r="E43" s="41"/>
      <c r="F43" s="46"/>
      <c r="G43" s="41"/>
      <c r="H43" s="41"/>
      <c r="I43" s="41"/>
      <c r="J43" s="41"/>
      <c r="K43" s="50">
        <v>0</v>
      </c>
    </row>
    <row r="44" spans="2:11" x14ac:dyDescent="0.3">
      <c r="B44" s="25">
        <v>1422</v>
      </c>
      <c r="C44" s="25" t="s">
        <v>35</v>
      </c>
      <c r="D44" s="41"/>
      <c r="E44" s="41"/>
      <c r="F44" s="46"/>
      <c r="G44" s="41"/>
      <c r="H44" s="41"/>
      <c r="I44" s="41"/>
      <c r="J44" s="41"/>
      <c r="K44" s="50">
        <v>0</v>
      </c>
    </row>
    <row r="45" spans="2:11" s="1" customFormat="1" x14ac:dyDescent="0.3">
      <c r="B45" s="28"/>
      <c r="C45" s="28" t="s">
        <v>28</v>
      </c>
      <c r="D45" s="43">
        <f>D40+D42</f>
        <v>30000000</v>
      </c>
      <c r="E45" s="43">
        <f t="shared" ref="E45:J45" si="13">E40+E42</f>
        <v>0</v>
      </c>
      <c r="F45" s="43">
        <f t="shared" si="13"/>
        <v>0</v>
      </c>
      <c r="G45" s="43">
        <f t="shared" si="13"/>
        <v>30000000</v>
      </c>
      <c r="H45" s="43">
        <f t="shared" si="13"/>
        <v>0</v>
      </c>
      <c r="I45" s="43">
        <f t="shared" si="13"/>
        <v>0</v>
      </c>
      <c r="J45" s="43">
        <f t="shared" si="13"/>
        <v>0</v>
      </c>
      <c r="K45" s="50">
        <f t="shared" si="11"/>
        <v>0</v>
      </c>
    </row>
    <row r="46" spans="2:11" s="2" customFormat="1" x14ac:dyDescent="0.3">
      <c r="B46" s="24">
        <v>10</v>
      </c>
      <c r="C46" s="24" t="s">
        <v>29</v>
      </c>
      <c r="D46" s="40">
        <f>SUM(D47:D48)</f>
        <v>11084605.75</v>
      </c>
      <c r="E46" s="40">
        <f t="shared" ref="E46:J46" si="14">SUM(E47:E48)</f>
        <v>0</v>
      </c>
      <c r="F46" s="40">
        <f t="shared" si="14"/>
        <v>0</v>
      </c>
      <c r="G46" s="40">
        <f t="shared" si="14"/>
        <v>11084605.75</v>
      </c>
      <c r="H46" s="40">
        <f t="shared" si="14"/>
        <v>0</v>
      </c>
      <c r="I46" s="40">
        <f t="shared" si="14"/>
        <v>0</v>
      </c>
      <c r="J46" s="40">
        <f t="shared" si="14"/>
        <v>0</v>
      </c>
      <c r="K46" s="49">
        <f t="shared" si="11"/>
        <v>0</v>
      </c>
    </row>
    <row r="47" spans="2:11" x14ac:dyDescent="0.3">
      <c r="B47" s="25">
        <v>1012</v>
      </c>
      <c r="C47" s="25" t="s">
        <v>30</v>
      </c>
      <c r="D47" s="41"/>
      <c r="E47" s="41"/>
      <c r="F47" s="46"/>
      <c r="G47" s="41"/>
      <c r="H47" s="41"/>
      <c r="I47" s="41"/>
      <c r="J47" s="41"/>
      <c r="K47" s="50">
        <v>0</v>
      </c>
    </row>
    <row r="48" spans="2:11" x14ac:dyDescent="0.3">
      <c r="B48" s="25">
        <v>1064</v>
      </c>
      <c r="C48" s="25" t="s">
        <v>31</v>
      </c>
      <c r="D48" s="145">
        <v>11084605.75</v>
      </c>
      <c r="E48" s="41"/>
      <c r="F48" s="46"/>
      <c r="G48" s="145">
        <v>11084605.75</v>
      </c>
      <c r="H48" s="41"/>
      <c r="I48" s="41"/>
      <c r="J48" s="41"/>
      <c r="K48" s="50">
        <f t="shared" si="11"/>
        <v>0</v>
      </c>
    </row>
    <row r="49" spans="2:11" s="1" customFormat="1" ht="15" thickBot="1" x14ac:dyDescent="0.35">
      <c r="B49" s="29"/>
      <c r="C49" s="29" t="s">
        <v>36</v>
      </c>
      <c r="D49" s="44">
        <f>D45+D46</f>
        <v>41084605.75</v>
      </c>
      <c r="E49" s="44">
        <f t="shared" ref="E49:J49" si="15">E45+E46</f>
        <v>0</v>
      </c>
      <c r="F49" s="44">
        <f t="shared" si="15"/>
        <v>0</v>
      </c>
      <c r="G49" s="44">
        <f t="shared" si="15"/>
        <v>41084605.75</v>
      </c>
      <c r="H49" s="44">
        <f t="shared" si="15"/>
        <v>0</v>
      </c>
      <c r="I49" s="44">
        <f t="shared" si="15"/>
        <v>0</v>
      </c>
      <c r="J49" s="44">
        <f t="shared" si="15"/>
        <v>0</v>
      </c>
      <c r="K49" s="51">
        <f>H49/G49</f>
        <v>0</v>
      </c>
    </row>
  </sheetData>
  <mergeCells count="1">
    <mergeCell ref="E2:G2"/>
  </mergeCells>
  <pageMargins left="0.19685039370078741" right="0" top="0.35433070866141736" bottom="0" header="0.31496062992125984" footer="0.31496062992125984"/>
  <pageSetup paperSize="9" scale="74"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G22"/>
  <sheetViews>
    <sheetView workbookViewId="0">
      <selection activeCell="G6" sqref="G6"/>
    </sheetView>
  </sheetViews>
  <sheetFormatPr baseColWidth="10" defaultColWidth="8.88671875" defaultRowHeight="14.4" x14ac:dyDescent="0.3"/>
  <cols>
    <col min="3" max="3" width="44.109375" customWidth="1"/>
    <col min="4" max="4" width="14.109375" customWidth="1"/>
    <col min="5" max="6" width="13.33203125" customWidth="1"/>
    <col min="7" max="7" width="12.33203125" customWidth="1"/>
  </cols>
  <sheetData>
    <row r="2" spans="2:7" ht="15.6" x14ac:dyDescent="0.3">
      <c r="C2" s="148" t="s">
        <v>185</v>
      </c>
      <c r="D2" s="148"/>
      <c r="E2" s="148"/>
      <c r="F2" s="148"/>
      <c r="G2" s="148"/>
    </row>
    <row r="3" spans="2:7" ht="15.6" x14ac:dyDescent="0.3">
      <c r="B3" s="133" t="s">
        <v>248</v>
      </c>
      <c r="C3" s="1"/>
    </row>
    <row r="4" spans="2:7" s="1" customFormat="1" ht="15" thickBot="1" x14ac:dyDescent="0.35">
      <c r="B4" s="147" t="s">
        <v>26</v>
      </c>
      <c r="C4" s="147"/>
      <c r="D4" s="147"/>
      <c r="E4" s="147"/>
      <c r="F4" s="147"/>
      <c r="G4" s="147"/>
    </row>
    <row r="5" spans="2:7" ht="29.4" thickBot="1" x14ac:dyDescent="0.35">
      <c r="B5" s="34" t="s">
        <v>0</v>
      </c>
      <c r="C5" s="34" t="s">
        <v>1</v>
      </c>
      <c r="D5" s="52" t="s">
        <v>24</v>
      </c>
      <c r="E5" s="34" t="s">
        <v>25</v>
      </c>
      <c r="F5" s="34" t="s">
        <v>5</v>
      </c>
      <c r="G5" s="52" t="s">
        <v>6</v>
      </c>
    </row>
    <row r="6" spans="2:7" s="2" customFormat="1" x14ac:dyDescent="0.3">
      <c r="B6" s="38">
        <v>70</v>
      </c>
      <c r="C6" s="38" t="s">
        <v>8</v>
      </c>
      <c r="D6" s="53">
        <v>1017922</v>
      </c>
      <c r="E6" s="53">
        <v>1120920</v>
      </c>
      <c r="F6" s="53">
        <v>1120920</v>
      </c>
      <c r="G6" s="109">
        <v>0</v>
      </c>
    </row>
    <row r="7" spans="2:7" s="2" customFormat="1" x14ac:dyDescent="0.3">
      <c r="B7" s="24">
        <v>71</v>
      </c>
      <c r="C7" s="24" t="s">
        <v>10</v>
      </c>
      <c r="D7" s="40">
        <v>18372384</v>
      </c>
      <c r="E7" s="40">
        <v>3447000</v>
      </c>
      <c r="F7" s="40">
        <v>3447000</v>
      </c>
      <c r="G7" s="107">
        <v>0</v>
      </c>
    </row>
    <row r="8" spans="2:7" s="2" customFormat="1" x14ac:dyDescent="0.3">
      <c r="B8" s="24">
        <v>72</v>
      </c>
      <c r="C8" s="24" t="s">
        <v>13</v>
      </c>
      <c r="D8" s="40">
        <v>4180000</v>
      </c>
      <c r="E8" s="40">
        <v>1220000</v>
      </c>
      <c r="F8" s="40">
        <v>1220000</v>
      </c>
      <c r="G8" s="107">
        <v>0</v>
      </c>
    </row>
    <row r="9" spans="2:7" s="2" customFormat="1" x14ac:dyDescent="0.3">
      <c r="B9" s="24">
        <v>74</v>
      </c>
      <c r="C9" s="24" t="s">
        <v>241</v>
      </c>
      <c r="D9" s="40">
        <v>3500000</v>
      </c>
      <c r="E9" s="40">
        <v>0</v>
      </c>
      <c r="F9" s="40">
        <v>0</v>
      </c>
      <c r="G9" s="107"/>
    </row>
    <row r="10" spans="2:7" s="2" customFormat="1" x14ac:dyDescent="0.3">
      <c r="B10" s="24">
        <v>75</v>
      </c>
      <c r="C10" s="24" t="s">
        <v>17</v>
      </c>
      <c r="D10" s="40">
        <v>44456000</v>
      </c>
      <c r="E10" s="40">
        <v>33756000</v>
      </c>
      <c r="F10" s="40">
        <v>33756000</v>
      </c>
      <c r="G10" s="107"/>
    </row>
    <row r="11" spans="2:7" s="2" customFormat="1" x14ac:dyDescent="0.3">
      <c r="B11" s="24">
        <v>77</v>
      </c>
      <c r="C11" s="24" t="s">
        <v>16</v>
      </c>
      <c r="D11" s="40">
        <v>19458500</v>
      </c>
      <c r="E11" s="40">
        <v>12444781</v>
      </c>
      <c r="F11" s="40">
        <v>12444781</v>
      </c>
      <c r="G11" s="107">
        <v>0</v>
      </c>
    </row>
    <row r="12" spans="2:7" s="1" customFormat="1" x14ac:dyDescent="0.3">
      <c r="B12" s="28"/>
      <c r="C12" s="28" t="s">
        <v>21</v>
      </c>
      <c r="D12" s="43">
        <f>D6+D7+D8+D9+D10+D11</f>
        <v>90984806</v>
      </c>
      <c r="E12" s="43">
        <f>E6+E7+E8+E10+E11</f>
        <v>51988701</v>
      </c>
      <c r="F12" s="43">
        <f>F6+F7+F8+F10+F11</f>
        <v>51988701</v>
      </c>
      <c r="G12" s="43">
        <f>G6+G7+G8+G10+G11</f>
        <v>0</v>
      </c>
    </row>
    <row r="13" spans="2:7" x14ac:dyDescent="0.3">
      <c r="B13" s="25"/>
      <c r="C13" s="25" t="s">
        <v>22</v>
      </c>
      <c r="D13" s="41"/>
      <c r="E13" s="41"/>
      <c r="F13" s="41"/>
      <c r="G13" s="41"/>
    </row>
    <row r="14" spans="2:7" s="1" customFormat="1" x14ac:dyDescent="0.3">
      <c r="B14" s="28"/>
      <c r="C14" s="28" t="s">
        <v>23</v>
      </c>
      <c r="D14" s="43">
        <f>+D12+D13</f>
        <v>90984806</v>
      </c>
      <c r="E14" s="43">
        <f t="shared" ref="D14:G14" si="0">+E12+E13</f>
        <v>51988701</v>
      </c>
      <c r="F14" s="43">
        <f t="shared" si="0"/>
        <v>51988701</v>
      </c>
      <c r="G14" s="43">
        <f t="shared" si="0"/>
        <v>0</v>
      </c>
    </row>
    <row r="15" spans="2:7" s="1" customFormat="1" ht="15" thickBot="1" x14ac:dyDescent="0.35">
      <c r="B15" s="29"/>
      <c r="C15" s="29"/>
      <c r="D15" s="29"/>
      <c r="E15" s="29"/>
      <c r="F15" s="29"/>
      <c r="G15" s="29"/>
    </row>
    <row r="16" spans="2:7" s="1" customFormat="1" ht="15" thickBot="1" x14ac:dyDescent="0.35">
      <c r="B16" s="146" t="s">
        <v>27</v>
      </c>
      <c r="C16" s="146"/>
      <c r="D16" s="146"/>
      <c r="E16" s="146"/>
      <c r="F16" s="146"/>
      <c r="G16" s="146"/>
    </row>
    <row r="17" spans="2:7" s="1" customFormat="1" ht="29.4" thickBot="1" x14ac:dyDescent="0.35">
      <c r="B17" s="23" t="s">
        <v>0</v>
      </c>
      <c r="C17" s="23" t="s">
        <v>1</v>
      </c>
      <c r="D17" s="48" t="s">
        <v>24</v>
      </c>
      <c r="E17" s="23" t="s">
        <v>25</v>
      </c>
      <c r="F17" s="23" t="s">
        <v>5</v>
      </c>
      <c r="G17" s="48" t="s">
        <v>6</v>
      </c>
    </row>
    <row r="18" spans="2:7" s="2" customFormat="1" x14ac:dyDescent="0.3">
      <c r="B18" s="24">
        <v>13</v>
      </c>
      <c r="C18" s="24" t="s">
        <v>32</v>
      </c>
      <c r="D18" s="40"/>
      <c r="E18" s="40"/>
      <c r="F18" s="40"/>
      <c r="G18" s="40"/>
    </row>
    <row r="19" spans="2:7" s="2" customFormat="1" x14ac:dyDescent="0.3">
      <c r="B19" s="24">
        <v>14</v>
      </c>
      <c r="C19" s="24" t="s">
        <v>33</v>
      </c>
      <c r="D19" s="40"/>
      <c r="E19" s="40"/>
      <c r="F19" s="40"/>
      <c r="G19" s="40"/>
    </row>
    <row r="20" spans="2:7" s="1" customFormat="1" x14ac:dyDescent="0.3">
      <c r="B20" s="28"/>
      <c r="C20" s="28" t="s">
        <v>28</v>
      </c>
      <c r="D20" s="43">
        <f>D18+D19</f>
        <v>0</v>
      </c>
      <c r="E20" s="43">
        <f>E18+E19</f>
        <v>0</v>
      </c>
      <c r="F20" s="43">
        <f>F18+F19</f>
        <v>0</v>
      </c>
      <c r="G20" s="43">
        <f>G18+G19</f>
        <v>0</v>
      </c>
    </row>
    <row r="21" spans="2:7" s="2" customFormat="1" x14ac:dyDescent="0.3">
      <c r="B21" s="24">
        <v>10</v>
      </c>
      <c r="C21" s="24" t="s">
        <v>29</v>
      </c>
      <c r="D21" s="40">
        <v>11084606</v>
      </c>
      <c r="E21" s="40">
        <v>0</v>
      </c>
      <c r="F21" s="40">
        <v>0</v>
      </c>
      <c r="G21" s="40">
        <v>0</v>
      </c>
    </row>
    <row r="22" spans="2:7" s="1" customFormat="1" ht="15" thickBot="1" x14ac:dyDescent="0.35">
      <c r="B22" s="29"/>
      <c r="C22" s="29" t="s">
        <v>36</v>
      </c>
      <c r="D22" s="44">
        <f>D20+D21</f>
        <v>11084606</v>
      </c>
      <c r="E22" s="44">
        <f>E20+E21</f>
        <v>0</v>
      </c>
      <c r="F22" s="44">
        <f>F20+F21</f>
        <v>0</v>
      </c>
      <c r="G22" s="44">
        <f>G20+G21</f>
        <v>0</v>
      </c>
    </row>
  </sheetData>
  <mergeCells count="3">
    <mergeCell ref="B16:G16"/>
    <mergeCell ref="B4:G4"/>
    <mergeCell ref="C2:G2"/>
  </mergeCells>
  <pageMargins left="0.70866141732283472" right="0.70866141732283472" top="0.74803149606299213" bottom="1.9291338582677167" header="0.31496062992125984" footer="0.31496062992125984"/>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L94"/>
  <sheetViews>
    <sheetView zoomScale="70" zoomScaleNormal="70" workbookViewId="0">
      <selection activeCell="N20" sqref="N20"/>
    </sheetView>
  </sheetViews>
  <sheetFormatPr baseColWidth="10" defaultColWidth="10.77734375" defaultRowHeight="14.4" x14ac:dyDescent="0.3"/>
  <cols>
    <col min="3" max="3" width="50.44140625" customWidth="1"/>
    <col min="4" max="4" width="18.77734375" customWidth="1"/>
    <col min="5" max="5" width="14.109375" customWidth="1"/>
    <col min="6" max="6" width="13" customWidth="1"/>
    <col min="7" max="7" width="13.88671875" customWidth="1"/>
    <col min="8" max="8" width="14.5546875" customWidth="1"/>
    <col min="9" max="9" width="17.33203125" customWidth="1"/>
    <col min="10" max="10" width="13.44140625" customWidth="1"/>
    <col min="11" max="12" width="14" customWidth="1"/>
  </cols>
  <sheetData>
    <row r="1" spans="2:12" s="1" customFormat="1" ht="15.6" x14ac:dyDescent="0.3">
      <c r="E1" s="148" t="s">
        <v>48</v>
      </c>
      <c r="F1" s="148"/>
      <c r="G1" s="148"/>
      <c r="H1" s="148"/>
      <c r="I1" s="148"/>
    </row>
    <row r="2" spans="2:12" ht="15.6" x14ac:dyDescent="0.3">
      <c r="B2" s="133" t="s">
        <v>248</v>
      </c>
      <c r="D2" s="1" t="s">
        <v>49</v>
      </c>
      <c r="E2" s="1" t="s">
        <v>50</v>
      </c>
      <c r="F2" s="1"/>
      <c r="G2" s="1"/>
    </row>
    <row r="3" spans="2:12" s="1" customFormat="1" ht="15" thickBot="1" x14ac:dyDescent="0.35">
      <c r="E3" s="1" t="s">
        <v>26</v>
      </c>
    </row>
    <row r="4" spans="2:12" ht="43.8" thickBot="1" x14ac:dyDescent="0.35">
      <c r="B4" s="23" t="s">
        <v>0</v>
      </c>
      <c r="C4" s="23" t="s">
        <v>1</v>
      </c>
      <c r="D4" s="23" t="s">
        <v>226</v>
      </c>
      <c r="E4" s="144" t="s">
        <v>227</v>
      </c>
      <c r="F4" s="45" t="s">
        <v>4</v>
      </c>
      <c r="G4" s="48" t="s">
        <v>24</v>
      </c>
      <c r="H4" s="23" t="s">
        <v>42</v>
      </c>
      <c r="I4" s="48" t="s">
        <v>46</v>
      </c>
      <c r="J4" s="48" t="s">
        <v>44</v>
      </c>
      <c r="K4" s="48" t="s">
        <v>45</v>
      </c>
      <c r="L4" s="48" t="s">
        <v>47</v>
      </c>
    </row>
    <row r="5" spans="2:12" s="2" customFormat="1" x14ac:dyDescent="0.3">
      <c r="B5" s="24">
        <v>60</v>
      </c>
      <c r="C5" s="24" t="s">
        <v>51</v>
      </c>
      <c r="D5" s="40">
        <f>SUM(D6:D13)</f>
        <v>26152800</v>
      </c>
      <c r="E5" s="40">
        <f t="shared" ref="E5:K5" si="0">SUM(E6:E13)</f>
        <v>0</v>
      </c>
      <c r="F5" s="40">
        <f t="shared" si="0"/>
        <v>0</v>
      </c>
      <c r="G5" s="40">
        <f t="shared" si="0"/>
        <v>26152800</v>
      </c>
      <c r="H5" s="40">
        <f t="shared" si="0"/>
        <v>15320000</v>
      </c>
      <c r="I5" s="40">
        <f t="shared" si="0"/>
        <v>15320000</v>
      </c>
      <c r="J5" s="40">
        <f t="shared" si="0"/>
        <v>15320000</v>
      </c>
      <c r="K5" s="40">
        <f>SUM(K6:K13)</f>
        <v>0</v>
      </c>
      <c r="L5" s="141">
        <f>I5/G5</f>
        <v>0.5857881374078493</v>
      </c>
    </row>
    <row r="6" spans="2:12" x14ac:dyDescent="0.3">
      <c r="B6" s="25">
        <v>6011</v>
      </c>
      <c r="C6" s="25" t="s">
        <v>52</v>
      </c>
      <c r="D6" s="41">
        <v>7560000</v>
      </c>
      <c r="E6" s="41"/>
      <c r="F6" s="41"/>
      <c r="G6" s="41">
        <v>7560000</v>
      </c>
      <c r="H6" s="41">
        <v>5100000</v>
      </c>
      <c r="I6" s="41">
        <v>5100000</v>
      </c>
      <c r="J6" s="41">
        <v>5100000</v>
      </c>
      <c r="K6" s="41">
        <f>I6-J6</f>
        <v>0</v>
      </c>
      <c r="L6" s="141">
        <f t="shared" ref="L6:L8" si="1">I6/G6</f>
        <v>0.67460317460317465</v>
      </c>
    </row>
    <row r="7" spans="2:12" x14ac:dyDescent="0.3">
      <c r="B7" s="25">
        <v>6012</v>
      </c>
      <c r="C7" s="25" t="s">
        <v>53</v>
      </c>
      <c r="D7" s="41"/>
      <c r="E7" s="41"/>
      <c r="F7" s="41"/>
      <c r="G7" s="41"/>
      <c r="H7" s="41"/>
      <c r="I7" s="41"/>
      <c r="J7" s="41"/>
      <c r="K7" s="41">
        <f t="shared" ref="K7:K12" si="2">I7-J7</f>
        <v>0</v>
      </c>
      <c r="L7" s="141" t="e">
        <f t="shared" si="1"/>
        <v>#DIV/0!</v>
      </c>
    </row>
    <row r="8" spans="2:12" x14ac:dyDescent="0.3">
      <c r="B8" s="25">
        <v>6021</v>
      </c>
      <c r="C8" s="25" t="s">
        <v>143</v>
      </c>
      <c r="D8" s="41"/>
      <c r="E8" s="41"/>
      <c r="F8" s="41"/>
      <c r="G8" s="41"/>
      <c r="H8" s="41"/>
      <c r="I8" s="41"/>
      <c r="J8" s="41"/>
      <c r="K8" s="41"/>
      <c r="L8" s="141" t="e">
        <f t="shared" si="1"/>
        <v>#DIV/0!</v>
      </c>
    </row>
    <row r="9" spans="2:12" x14ac:dyDescent="0.3">
      <c r="B9" s="25">
        <v>6022</v>
      </c>
      <c r="C9" s="25" t="s">
        <v>144</v>
      </c>
      <c r="D9" s="41">
        <v>2400000</v>
      </c>
      <c r="E9" s="41"/>
      <c r="F9" s="41"/>
      <c r="G9" s="41">
        <v>2400000</v>
      </c>
      <c r="H9" s="41"/>
      <c r="I9" s="41"/>
      <c r="J9" s="41"/>
      <c r="K9" s="41"/>
      <c r="L9" s="40"/>
    </row>
    <row r="10" spans="2:12" x14ac:dyDescent="0.3">
      <c r="B10" s="25">
        <v>6031</v>
      </c>
      <c r="C10" s="25" t="s">
        <v>54</v>
      </c>
      <c r="D10" s="41"/>
      <c r="E10" s="41"/>
      <c r="F10" s="41"/>
      <c r="G10" s="41"/>
      <c r="H10" s="41"/>
      <c r="I10" s="41"/>
      <c r="J10" s="41" t="s">
        <v>142</v>
      </c>
      <c r="K10" s="41" t="s">
        <v>142</v>
      </c>
      <c r="L10" s="40" t="s">
        <v>142</v>
      </c>
    </row>
    <row r="11" spans="2:12" x14ac:dyDescent="0.3">
      <c r="B11" s="25">
        <v>6032</v>
      </c>
      <c r="C11" s="25" t="s">
        <v>55</v>
      </c>
      <c r="D11" s="41">
        <v>14400000</v>
      </c>
      <c r="E11" s="41"/>
      <c r="F11" s="41"/>
      <c r="G11" s="41">
        <v>14400000</v>
      </c>
      <c r="H11" s="41">
        <v>10220000</v>
      </c>
      <c r="I11" s="41">
        <v>10220000</v>
      </c>
      <c r="J11" s="41">
        <v>10220000</v>
      </c>
      <c r="K11" s="41">
        <f t="shared" si="2"/>
        <v>0</v>
      </c>
      <c r="L11" s="141">
        <f t="shared" ref="L11:L34" si="3">I11/G11</f>
        <v>0.70972222222222225</v>
      </c>
    </row>
    <row r="12" spans="2:12" x14ac:dyDescent="0.3">
      <c r="B12" s="25">
        <v>6061</v>
      </c>
      <c r="C12" s="25" t="s">
        <v>56</v>
      </c>
      <c r="D12" s="41">
        <v>1294800</v>
      </c>
      <c r="E12" s="41"/>
      <c r="F12" s="41"/>
      <c r="G12" s="41">
        <v>1294800</v>
      </c>
      <c r="H12" s="41"/>
      <c r="I12" s="41"/>
      <c r="J12" s="41"/>
      <c r="K12" s="41">
        <f t="shared" si="2"/>
        <v>0</v>
      </c>
      <c r="L12" s="141">
        <f t="shared" si="3"/>
        <v>0</v>
      </c>
    </row>
    <row r="13" spans="2:12" x14ac:dyDescent="0.3">
      <c r="B13" s="25">
        <v>6062</v>
      </c>
      <c r="C13" s="25" t="s">
        <v>57</v>
      </c>
      <c r="D13" s="41">
        <v>498000</v>
      </c>
      <c r="E13" s="41"/>
      <c r="F13" s="41"/>
      <c r="G13" s="41">
        <v>498000</v>
      </c>
      <c r="H13" s="41"/>
      <c r="I13" s="41"/>
      <c r="J13" s="41"/>
      <c r="K13" s="41" t="s">
        <v>142</v>
      </c>
      <c r="L13" s="40" t="s">
        <v>142</v>
      </c>
    </row>
    <row r="14" spans="2:12" s="2" customFormat="1" x14ac:dyDescent="0.3">
      <c r="B14" s="24">
        <v>61</v>
      </c>
      <c r="C14" s="24" t="s">
        <v>58</v>
      </c>
      <c r="D14" s="40">
        <f>SUM(D15:D20)</f>
        <v>8652000</v>
      </c>
      <c r="E14" s="40">
        <f t="shared" ref="E14:K14" si="4">SUM(E15:E20)</f>
        <v>0</v>
      </c>
      <c r="F14" s="40">
        <f t="shared" si="4"/>
        <v>0</v>
      </c>
      <c r="G14" s="40">
        <f t="shared" si="4"/>
        <v>8652000</v>
      </c>
      <c r="H14" s="40">
        <f t="shared" si="4"/>
        <v>1610000</v>
      </c>
      <c r="I14" s="40">
        <f t="shared" si="4"/>
        <v>1610000</v>
      </c>
      <c r="J14" s="40">
        <f t="shared" si="4"/>
        <v>1610000</v>
      </c>
      <c r="K14" s="40">
        <f t="shared" si="4"/>
        <v>0</v>
      </c>
      <c r="L14" s="141">
        <f t="shared" si="3"/>
        <v>0.18608414239482202</v>
      </c>
    </row>
    <row r="15" spans="2:12" x14ac:dyDescent="0.3">
      <c r="B15" s="25">
        <v>6111</v>
      </c>
      <c r="C15" s="25" t="s">
        <v>59</v>
      </c>
      <c r="D15" s="41">
        <v>360000</v>
      </c>
      <c r="E15" s="41"/>
      <c r="F15" s="41"/>
      <c r="G15" s="41">
        <v>360000</v>
      </c>
      <c r="H15" s="41">
        <v>300000</v>
      </c>
      <c r="I15" s="41">
        <v>300000</v>
      </c>
      <c r="J15" s="41">
        <v>300000</v>
      </c>
      <c r="K15" s="41">
        <f>I15-J15</f>
        <v>0</v>
      </c>
      <c r="L15" s="141">
        <f t="shared" si="3"/>
        <v>0.83333333333333337</v>
      </c>
    </row>
    <row r="16" spans="2:12" x14ac:dyDescent="0.3">
      <c r="B16" s="25">
        <v>6112</v>
      </c>
      <c r="C16" s="25" t="s">
        <v>60</v>
      </c>
      <c r="D16" s="41">
        <v>1290000</v>
      </c>
      <c r="E16" s="41"/>
      <c r="F16" s="41"/>
      <c r="G16" s="41">
        <v>1290000</v>
      </c>
      <c r="H16" s="41">
        <v>290000</v>
      </c>
      <c r="I16" s="41">
        <v>290000</v>
      </c>
      <c r="J16" s="41">
        <v>290000</v>
      </c>
      <c r="K16" s="41">
        <f t="shared" ref="K16:K18" si="5">I16-J16</f>
        <v>0</v>
      </c>
      <c r="L16" s="141">
        <f t="shared" si="3"/>
        <v>0.22480620155038761</v>
      </c>
    </row>
    <row r="17" spans="2:12" x14ac:dyDescent="0.3">
      <c r="B17" s="25">
        <v>6113</v>
      </c>
      <c r="C17" s="25" t="s">
        <v>61</v>
      </c>
      <c r="D17" s="41"/>
      <c r="E17" s="41"/>
      <c r="F17" s="41"/>
      <c r="G17" s="41"/>
      <c r="H17" s="41"/>
      <c r="I17" s="41"/>
      <c r="J17" s="41"/>
      <c r="K17" s="41">
        <f t="shared" si="5"/>
        <v>0</v>
      </c>
      <c r="L17" s="141" t="e">
        <f t="shared" si="3"/>
        <v>#DIV/0!</v>
      </c>
    </row>
    <row r="18" spans="2:12" x14ac:dyDescent="0.3">
      <c r="B18" s="25">
        <v>6114</v>
      </c>
      <c r="C18" s="25" t="s">
        <v>62</v>
      </c>
      <c r="D18" s="41"/>
      <c r="E18" s="41"/>
      <c r="F18" s="41"/>
      <c r="G18" s="41"/>
      <c r="H18" s="41"/>
      <c r="I18" s="41"/>
      <c r="J18" s="41"/>
      <c r="K18" s="41">
        <f t="shared" si="5"/>
        <v>0</v>
      </c>
      <c r="L18" s="40" t="s">
        <v>142</v>
      </c>
    </row>
    <row r="19" spans="2:12" x14ac:dyDescent="0.3">
      <c r="B19" s="25">
        <v>6128</v>
      </c>
      <c r="C19" s="25" t="s">
        <v>145</v>
      </c>
      <c r="D19" s="41"/>
      <c r="E19" s="41"/>
      <c r="F19" s="41"/>
      <c r="G19" s="41"/>
      <c r="H19" s="41"/>
      <c r="I19" s="41"/>
      <c r="J19" s="41"/>
      <c r="K19" s="41"/>
      <c r="L19" s="141" t="e">
        <f t="shared" si="3"/>
        <v>#DIV/0!</v>
      </c>
    </row>
    <row r="20" spans="2:12" x14ac:dyDescent="0.3">
      <c r="B20" s="25">
        <v>6131</v>
      </c>
      <c r="C20" s="25" t="s">
        <v>146</v>
      </c>
      <c r="D20" s="41">
        <v>7002000</v>
      </c>
      <c r="E20" s="41"/>
      <c r="F20" s="41"/>
      <c r="G20" s="41">
        <v>7002000</v>
      </c>
      <c r="H20" s="41">
        <v>1020000</v>
      </c>
      <c r="I20" s="41">
        <v>1020000</v>
      </c>
      <c r="J20" s="41">
        <v>1020000</v>
      </c>
      <c r="K20" s="41"/>
      <c r="L20" s="141">
        <f t="shared" si="3"/>
        <v>0.1456726649528706</v>
      </c>
    </row>
    <row r="21" spans="2:12" s="2" customFormat="1" x14ac:dyDescent="0.3">
      <c r="B21" s="24">
        <v>62</v>
      </c>
      <c r="C21" s="24" t="s">
        <v>67</v>
      </c>
      <c r="D21" s="40">
        <f>SUM(D22:D27)</f>
        <v>3547600</v>
      </c>
      <c r="E21" s="40">
        <f t="shared" ref="E21:G21" si="6">SUM(E22:E27)</f>
        <v>0</v>
      </c>
      <c r="F21" s="40">
        <f t="shared" si="6"/>
        <v>0</v>
      </c>
      <c r="G21" s="40">
        <f t="shared" si="6"/>
        <v>3547600</v>
      </c>
      <c r="H21" s="40">
        <f>SUM(H22:H27)</f>
        <v>3367600</v>
      </c>
      <c r="I21" s="40">
        <f t="shared" ref="I21:K21" si="7">SUM(I22:I27)</f>
        <v>3367600</v>
      </c>
      <c r="J21" s="40">
        <f t="shared" si="7"/>
        <v>3367600</v>
      </c>
      <c r="K21" s="40">
        <f>SUM(K22:K27)</f>
        <v>0</v>
      </c>
      <c r="L21" s="141">
        <f t="shared" si="3"/>
        <v>0.94926147254481907</v>
      </c>
    </row>
    <row r="22" spans="2:12" x14ac:dyDescent="0.3">
      <c r="B22" s="25">
        <v>6224</v>
      </c>
      <c r="C22" s="25" t="s">
        <v>147</v>
      </c>
      <c r="D22" s="41"/>
      <c r="E22" s="41"/>
      <c r="F22" s="41"/>
      <c r="G22" s="41"/>
      <c r="H22" s="41"/>
      <c r="I22" s="41"/>
      <c r="J22" s="41"/>
      <c r="K22" s="41">
        <f>I22-J22</f>
        <v>0</v>
      </c>
      <c r="L22" s="141" t="e">
        <f t="shared" si="3"/>
        <v>#DIV/0!</v>
      </c>
    </row>
    <row r="23" spans="2:12" x14ac:dyDescent="0.3">
      <c r="B23" s="25">
        <v>6231</v>
      </c>
      <c r="C23" s="25" t="s">
        <v>148</v>
      </c>
      <c r="D23" s="41">
        <v>700000</v>
      </c>
      <c r="E23" s="41"/>
      <c r="F23" s="41"/>
      <c r="G23" s="41">
        <v>700000</v>
      </c>
      <c r="H23" s="41">
        <v>700000</v>
      </c>
      <c r="I23" s="41">
        <v>700000</v>
      </c>
      <c r="J23" s="41">
        <v>700000</v>
      </c>
      <c r="K23" s="41">
        <f t="shared" ref="K23:K24" si="8">I23-J23</f>
        <v>0</v>
      </c>
      <c r="L23" s="141">
        <f t="shared" si="3"/>
        <v>1</v>
      </c>
    </row>
    <row r="24" spans="2:12" x14ac:dyDescent="0.3">
      <c r="B24" s="25">
        <v>6241</v>
      </c>
      <c r="C24" s="25" t="s">
        <v>149</v>
      </c>
      <c r="D24" s="41">
        <v>1680000</v>
      </c>
      <c r="E24" s="41"/>
      <c r="F24" s="41"/>
      <c r="G24" s="41">
        <v>1680000</v>
      </c>
      <c r="H24" s="41">
        <v>1600000</v>
      </c>
      <c r="I24" s="41">
        <v>1600000</v>
      </c>
      <c r="J24" s="41">
        <v>1600000</v>
      </c>
      <c r="K24" s="41">
        <f t="shared" si="8"/>
        <v>0</v>
      </c>
      <c r="L24" s="141">
        <f t="shared" si="3"/>
        <v>0.95238095238095233</v>
      </c>
    </row>
    <row r="25" spans="2:12" x14ac:dyDescent="0.3">
      <c r="B25" s="25">
        <v>6263</v>
      </c>
      <c r="C25" s="25" t="s">
        <v>228</v>
      </c>
      <c r="D25" s="41">
        <v>1020000</v>
      </c>
      <c r="E25" s="41"/>
      <c r="F25" s="41"/>
      <c r="G25" s="41">
        <v>1020000</v>
      </c>
      <c r="H25" s="41">
        <v>920000</v>
      </c>
      <c r="I25" s="41">
        <v>920000</v>
      </c>
      <c r="J25" s="41">
        <v>920000</v>
      </c>
      <c r="K25" s="41"/>
      <c r="L25" s="141">
        <f t="shared" si="3"/>
        <v>0.90196078431372551</v>
      </c>
    </row>
    <row r="26" spans="2:12" x14ac:dyDescent="0.3">
      <c r="B26" s="25">
        <v>6285</v>
      </c>
      <c r="C26" s="25" t="s">
        <v>150</v>
      </c>
      <c r="D26" s="41">
        <v>147600</v>
      </c>
      <c r="E26" s="41"/>
      <c r="F26" s="41"/>
      <c r="G26" s="41">
        <v>147600</v>
      </c>
      <c r="H26" s="41">
        <v>147600</v>
      </c>
      <c r="I26" s="41">
        <v>147600</v>
      </c>
      <c r="J26" s="41">
        <v>147600</v>
      </c>
      <c r="K26" s="41"/>
      <c r="L26" s="141">
        <f t="shared" si="3"/>
        <v>1</v>
      </c>
    </row>
    <row r="27" spans="2:12" x14ac:dyDescent="0.3">
      <c r="B27" s="25">
        <v>6287</v>
      </c>
      <c r="C27" s="25" t="s">
        <v>151</v>
      </c>
      <c r="D27" s="41"/>
      <c r="E27" s="41"/>
      <c r="F27" s="41"/>
      <c r="G27" s="41"/>
      <c r="H27" s="41"/>
      <c r="I27" s="41"/>
      <c r="J27" s="41"/>
      <c r="K27" s="41"/>
      <c r="L27" s="141" t="e">
        <f t="shared" si="3"/>
        <v>#DIV/0!</v>
      </c>
    </row>
    <row r="28" spans="2:12" x14ac:dyDescent="0.3">
      <c r="B28" s="24">
        <v>63</v>
      </c>
      <c r="C28" s="28" t="s">
        <v>152</v>
      </c>
      <c r="D28" s="40">
        <f>D29</f>
        <v>0</v>
      </c>
      <c r="E28" s="40">
        <f t="shared" ref="E28:J28" si="9">E29</f>
        <v>0</v>
      </c>
      <c r="F28" s="40">
        <f t="shared" si="9"/>
        <v>0</v>
      </c>
      <c r="G28" s="40">
        <f t="shared" si="9"/>
        <v>0</v>
      </c>
      <c r="H28" s="40">
        <f t="shared" si="9"/>
        <v>0</v>
      </c>
      <c r="I28" s="40">
        <f t="shared" si="9"/>
        <v>0</v>
      </c>
      <c r="J28" s="40">
        <f t="shared" si="9"/>
        <v>0</v>
      </c>
      <c r="K28" s="41"/>
      <c r="L28" s="141" t="e">
        <f t="shared" si="3"/>
        <v>#DIV/0!</v>
      </c>
    </row>
    <row r="29" spans="2:12" x14ac:dyDescent="0.3">
      <c r="B29" s="25">
        <v>6310</v>
      </c>
      <c r="C29" s="25" t="s">
        <v>153</v>
      </c>
      <c r="D29" s="41"/>
      <c r="E29" s="41"/>
      <c r="F29" s="41"/>
      <c r="G29" s="41"/>
      <c r="H29" s="41"/>
      <c r="I29" s="41"/>
      <c r="J29" s="41"/>
      <c r="K29" s="41"/>
      <c r="L29" s="141" t="e">
        <f t="shared" si="3"/>
        <v>#DIV/0!</v>
      </c>
    </row>
    <row r="30" spans="2:12" s="2" customFormat="1" x14ac:dyDescent="0.3">
      <c r="B30" s="24">
        <v>65</v>
      </c>
      <c r="C30" s="24" t="s">
        <v>68</v>
      </c>
      <c r="D30" s="40">
        <f>D31</f>
        <v>0</v>
      </c>
      <c r="E30" s="40">
        <f t="shared" ref="E30:K30" si="10">E31</f>
        <v>0</v>
      </c>
      <c r="F30" s="40">
        <f t="shared" si="10"/>
        <v>0</v>
      </c>
      <c r="G30" s="40">
        <f t="shared" si="10"/>
        <v>0</v>
      </c>
      <c r="H30" s="40">
        <f t="shared" si="10"/>
        <v>0</v>
      </c>
      <c r="I30" s="40">
        <f t="shared" si="10"/>
        <v>0</v>
      </c>
      <c r="J30" s="40">
        <f t="shared" si="10"/>
        <v>0</v>
      </c>
      <c r="K30" s="40">
        <f t="shared" si="10"/>
        <v>0</v>
      </c>
      <c r="L30" s="40" t="s">
        <v>142</v>
      </c>
    </row>
    <row r="31" spans="2:12" s="6" customFormat="1" x14ac:dyDescent="0.3">
      <c r="B31" s="26">
        <v>6540</v>
      </c>
      <c r="C31" s="30" t="s">
        <v>69</v>
      </c>
      <c r="D31" s="68"/>
      <c r="E31" s="68"/>
      <c r="F31" s="68"/>
      <c r="G31" s="68"/>
      <c r="H31" s="68"/>
      <c r="I31" s="68"/>
      <c r="J31" s="68"/>
      <c r="K31" s="68">
        <f>I31-J31</f>
        <v>0</v>
      </c>
      <c r="L31" s="40" t="s">
        <v>142</v>
      </c>
    </row>
    <row r="32" spans="2:12" s="2" customFormat="1" x14ac:dyDescent="0.3">
      <c r="B32" s="27"/>
      <c r="C32" s="27" t="s">
        <v>70</v>
      </c>
      <c r="D32" s="65">
        <f t="shared" ref="D32:F32" si="11">SUM(D5+D14+D21+ D28+D30)</f>
        <v>38352400</v>
      </c>
      <c r="E32" s="65">
        <f t="shared" si="11"/>
        <v>0</v>
      </c>
      <c r="F32" s="65">
        <f t="shared" si="11"/>
        <v>0</v>
      </c>
      <c r="G32" s="65">
        <f>SUM(G5+G14+G21+ G28+G30)</f>
        <v>38352400</v>
      </c>
      <c r="H32" s="65">
        <f t="shared" ref="H32:K32" si="12">SUM(H5+H14+H21+ H28+H30)</f>
        <v>20297600</v>
      </c>
      <c r="I32" s="65">
        <f t="shared" si="12"/>
        <v>20297600</v>
      </c>
      <c r="J32" s="65">
        <f t="shared" si="12"/>
        <v>20297600</v>
      </c>
      <c r="K32" s="65">
        <f t="shared" si="12"/>
        <v>0</v>
      </c>
      <c r="L32" s="141">
        <f t="shared" si="3"/>
        <v>0.52923936963527707</v>
      </c>
    </row>
    <row r="33" spans="2:12" x14ac:dyDescent="0.3">
      <c r="B33" s="25"/>
      <c r="C33" s="25" t="s">
        <v>71</v>
      </c>
      <c r="D33" s="41"/>
      <c r="E33" s="41"/>
      <c r="F33" s="41"/>
      <c r="G33" s="41"/>
      <c r="H33" s="41"/>
      <c r="I33" s="41"/>
      <c r="J33" s="41"/>
      <c r="K33" s="41"/>
      <c r="L33" s="40" t="s">
        <v>142</v>
      </c>
    </row>
    <row r="34" spans="2:12" s="1" customFormat="1" x14ac:dyDescent="0.3">
      <c r="B34" s="28"/>
      <c r="C34" s="28" t="s">
        <v>72</v>
      </c>
      <c r="D34" s="43">
        <f>D32+D33</f>
        <v>38352400</v>
      </c>
      <c r="E34" s="43">
        <f t="shared" ref="E34:K34" si="13">E32+E33</f>
        <v>0</v>
      </c>
      <c r="F34" s="43">
        <f t="shared" si="13"/>
        <v>0</v>
      </c>
      <c r="G34" s="43">
        <f t="shared" si="13"/>
        <v>38352400</v>
      </c>
      <c r="H34" s="43">
        <f t="shared" si="13"/>
        <v>20297600</v>
      </c>
      <c r="I34" s="43">
        <f t="shared" si="13"/>
        <v>20297600</v>
      </c>
      <c r="J34" s="43">
        <f t="shared" si="13"/>
        <v>20297600</v>
      </c>
      <c r="K34" s="43">
        <f t="shared" si="13"/>
        <v>0</v>
      </c>
      <c r="L34" s="141">
        <f t="shared" si="3"/>
        <v>0.52923936963527707</v>
      </c>
    </row>
    <row r="35" spans="2:12" x14ac:dyDescent="0.3">
      <c r="B35" s="25"/>
      <c r="C35" s="25"/>
      <c r="D35" s="41"/>
      <c r="E35" s="41"/>
      <c r="F35" s="41"/>
      <c r="G35" s="41"/>
      <c r="H35" s="41"/>
      <c r="I35" s="41"/>
      <c r="J35" s="41"/>
      <c r="K35" s="41"/>
      <c r="L35" s="41"/>
    </row>
    <row r="36" spans="2:12" s="1" customFormat="1" ht="15" thickBot="1" x14ac:dyDescent="0.35">
      <c r="B36" s="28"/>
      <c r="C36" s="28"/>
      <c r="D36" s="43"/>
      <c r="E36" s="43" t="s">
        <v>27</v>
      </c>
      <c r="F36" s="43"/>
      <c r="G36" s="43"/>
      <c r="H36" s="43"/>
      <c r="I36" s="43"/>
      <c r="J36" s="43"/>
      <c r="K36" s="43"/>
      <c r="L36" s="43"/>
    </row>
    <row r="37" spans="2:12" ht="43.8" thickBot="1" x14ac:dyDescent="0.35">
      <c r="B37" s="23" t="s">
        <v>0</v>
      </c>
      <c r="C37" s="23" t="s">
        <v>1</v>
      </c>
      <c r="D37" s="23" t="s">
        <v>2</v>
      </c>
      <c r="E37" s="23" t="s">
        <v>3</v>
      </c>
      <c r="F37" s="45" t="s">
        <v>4</v>
      </c>
      <c r="G37" s="48" t="s">
        <v>24</v>
      </c>
      <c r="H37" s="23" t="s">
        <v>42</v>
      </c>
      <c r="I37" s="48" t="s">
        <v>46</v>
      </c>
      <c r="J37" s="48" t="s">
        <v>44</v>
      </c>
      <c r="K37" s="48" t="s">
        <v>45</v>
      </c>
      <c r="L37" s="48" t="s">
        <v>47</v>
      </c>
    </row>
    <row r="38" spans="2:12" s="2" customFormat="1" x14ac:dyDescent="0.3">
      <c r="B38" s="24">
        <v>16</v>
      </c>
      <c r="C38" s="24" t="s">
        <v>73</v>
      </c>
      <c r="D38" s="40">
        <f>D39</f>
        <v>0</v>
      </c>
      <c r="E38" s="40">
        <f t="shared" ref="E38:K38" si="14">E39</f>
        <v>0</v>
      </c>
      <c r="F38" s="40">
        <f t="shared" si="14"/>
        <v>0</v>
      </c>
      <c r="G38" s="40">
        <f t="shared" si="14"/>
        <v>0</v>
      </c>
      <c r="H38" s="40">
        <f t="shared" si="14"/>
        <v>0</v>
      </c>
      <c r="I38" s="40">
        <f t="shared" si="14"/>
        <v>0</v>
      </c>
      <c r="J38" s="40">
        <f t="shared" si="14"/>
        <v>0</v>
      </c>
      <c r="K38" s="40">
        <f t="shared" si="14"/>
        <v>0</v>
      </c>
      <c r="L38" s="141" t="s">
        <v>142</v>
      </c>
    </row>
    <row r="39" spans="2:12" x14ac:dyDescent="0.3">
      <c r="B39" s="25"/>
      <c r="C39" s="25"/>
      <c r="D39" s="41"/>
      <c r="E39" s="41"/>
      <c r="F39" s="41"/>
      <c r="G39" s="41"/>
      <c r="H39" s="41"/>
      <c r="I39" s="41"/>
      <c r="J39" s="41"/>
      <c r="K39" s="41">
        <f>I39-J39</f>
        <v>0</v>
      </c>
      <c r="L39" s="49" t="s">
        <v>142</v>
      </c>
    </row>
    <row r="40" spans="2:12" s="2" customFormat="1" x14ac:dyDescent="0.3">
      <c r="B40" s="24">
        <v>20</v>
      </c>
      <c r="C40" s="24" t="s">
        <v>74</v>
      </c>
      <c r="D40" s="40">
        <f>D41</f>
        <v>0</v>
      </c>
      <c r="E40" s="40">
        <f t="shared" ref="E40:K40" si="15">E41</f>
        <v>0</v>
      </c>
      <c r="F40" s="40">
        <f t="shared" si="15"/>
        <v>0</v>
      </c>
      <c r="G40" s="40">
        <f t="shared" si="15"/>
        <v>0</v>
      </c>
      <c r="H40" s="40">
        <f t="shared" si="15"/>
        <v>0</v>
      </c>
      <c r="I40" s="40">
        <f t="shared" si="15"/>
        <v>0</v>
      </c>
      <c r="J40" s="40">
        <f t="shared" si="15"/>
        <v>0</v>
      </c>
      <c r="K40" s="40">
        <f t="shared" si="15"/>
        <v>0</v>
      </c>
      <c r="L40" s="49" t="s">
        <v>142</v>
      </c>
    </row>
    <row r="41" spans="2:12" x14ac:dyDescent="0.3">
      <c r="B41" s="25">
        <v>2014</v>
      </c>
      <c r="C41" s="25" t="s">
        <v>75</v>
      </c>
      <c r="D41" s="41"/>
      <c r="E41" s="41"/>
      <c r="F41" s="41"/>
      <c r="G41" s="41"/>
      <c r="H41" s="41"/>
      <c r="I41" s="41"/>
      <c r="J41" s="41"/>
      <c r="K41" s="41">
        <f>I41-J41</f>
        <v>0</v>
      </c>
      <c r="L41" s="49" t="s">
        <v>142</v>
      </c>
    </row>
    <row r="42" spans="2:12" s="2" customFormat="1" x14ac:dyDescent="0.3">
      <c r="B42" s="24">
        <v>21</v>
      </c>
      <c r="C42" s="24" t="s">
        <v>76</v>
      </c>
      <c r="D42" s="40">
        <f>SUM(D43:D48)</f>
        <v>1200000</v>
      </c>
      <c r="E42" s="40">
        <f t="shared" ref="E42:K42" si="16">SUM(E43:E48)</f>
        <v>0</v>
      </c>
      <c r="F42" s="40">
        <f t="shared" si="16"/>
        <v>0</v>
      </c>
      <c r="G42" s="40">
        <f t="shared" si="16"/>
        <v>1200000</v>
      </c>
      <c r="H42" s="40">
        <f t="shared" si="16"/>
        <v>700000</v>
      </c>
      <c r="I42" s="40">
        <f t="shared" si="16"/>
        <v>700000</v>
      </c>
      <c r="J42" s="40">
        <f t="shared" si="16"/>
        <v>0</v>
      </c>
      <c r="K42" s="40">
        <f t="shared" si="16"/>
        <v>0</v>
      </c>
      <c r="L42" s="141">
        <f>I42/G42</f>
        <v>0.58333333333333337</v>
      </c>
    </row>
    <row r="43" spans="2:12" hidden="1" x14ac:dyDescent="0.3">
      <c r="B43" s="25">
        <v>2131</v>
      </c>
      <c r="C43" s="25" t="s">
        <v>77</v>
      </c>
      <c r="D43" s="41"/>
      <c r="E43" s="41"/>
      <c r="F43" s="41"/>
      <c r="G43" s="41"/>
      <c r="H43" s="41"/>
      <c r="I43" s="41"/>
      <c r="J43" s="41"/>
      <c r="K43" s="41"/>
      <c r="L43" s="141" t="e">
        <f t="shared" ref="L43:L49" si="17">I43/G43</f>
        <v>#DIV/0!</v>
      </c>
    </row>
    <row r="44" spans="2:12" x14ac:dyDescent="0.3">
      <c r="B44" s="25">
        <v>2138</v>
      </c>
      <c r="C44" s="25" t="s">
        <v>154</v>
      </c>
      <c r="D44" s="41"/>
      <c r="E44" s="41"/>
      <c r="F44" s="41"/>
      <c r="G44" s="41"/>
      <c r="H44" s="41"/>
      <c r="I44" s="41"/>
      <c r="J44" s="41"/>
      <c r="K44" s="41"/>
      <c r="L44" s="141" t="e">
        <f t="shared" si="17"/>
        <v>#DIV/0!</v>
      </c>
    </row>
    <row r="45" spans="2:12" x14ac:dyDescent="0.3">
      <c r="B45" s="25">
        <v>2161</v>
      </c>
      <c r="C45" s="25" t="s">
        <v>155</v>
      </c>
      <c r="D45" s="41"/>
      <c r="E45" s="41"/>
      <c r="F45" s="41"/>
      <c r="G45" s="41"/>
      <c r="H45" s="41"/>
      <c r="I45" s="41"/>
      <c r="J45" s="41"/>
      <c r="K45" s="41"/>
      <c r="L45" s="141" t="e">
        <f t="shared" si="17"/>
        <v>#DIV/0!</v>
      </c>
    </row>
    <row r="46" spans="2:12" x14ac:dyDescent="0.3">
      <c r="B46" s="25">
        <v>2163</v>
      </c>
      <c r="C46" s="25" t="s">
        <v>78</v>
      </c>
      <c r="D46" s="41"/>
      <c r="E46" s="41"/>
      <c r="F46" s="41"/>
      <c r="G46" s="41"/>
      <c r="H46" s="41"/>
      <c r="I46" s="41"/>
      <c r="J46" s="41"/>
      <c r="K46" s="41"/>
      <c r="L46" s="141" t="e">
        <f t="shared" si="17"/>
        <v>#DIV/0!</v>
      </c>
    </row>
    <row r="47" spans="2:12" x14ac:dyDescent="0.3">
      <c r="B47" s="25">
        <v>2164</v>
      </c>
      <c r="C47" s="25" t="s">
        <v>156</v>
      </c>
      <c r="D47" s="41">
        <v>1200000</v>
      </c>
      <c r="E47" s="41"/>
      <c r="F47" s="41"/>
      <c r="G47" s="41">
        <v>1200000</v>
      </c>
      <c r="H47" s="41">
        <v>700000</v>
      </c>
      <c r="I47" s="41">
        <v>700000</v>
      </c>
      <c r="J47" s="41"/>
      <c r="K47" s="41"/>
      <c r="L47" s="141">
        <f>I47/G47</f>
        <v>0.58333333333333337</v>
      </c>
    </row>
    <row r="48" spans="2:12" x14ac:dyDescent="0.3">
      <c r="B48" s="25">
        <v>2165</v>
      </c>
      <c r="C48" s="25" t="s">
        <v>157</v>
      </c>
      <c r="D48" s="41"/>
      <c r="E48" s="41"/>
      <c r="F48" s="41"/>
      <c r="G48" s="41"/>
      <c r="H48" s="41"/>
      <c r="I48" s="41"/>
      <c r="J48" s="41"/>
      <c r="K48" s="41"/>
      <c r="L48" s="141" t="e">
        <f t="shared" si="17"/>
        <v>#DIV/0!</v>
      </c>
    </row>
    <row r="49" spans="2:12" s="1" customFormat="1" x14ac:dyDescent="0.3">
      <c r="B49" s="28"/>
      <c r="C49" s="28" t="s">
        <v>79</v>
      </c>
      <c r="D49" s="43">
        <f t="shared" ref="D49:K49" si="18">D38+D40+D42</f>
        <v>1200000</v>
      </c>
      <c r="E49" s="43">
        <f t="shared" si="18"/>
        <v>0</v>
      </c>
      <c r="F49" s="43">
        <f t="shared" si="18"/>
        <v>0</v>
      </c>
      <c r="G49" s="43">
        <f t="shared" si="18"/>
        <v>1200000</v>
      </c>
      <c r="H49" s="43">
        <f t="shared" si="18"/>
        <v>700000</v>
      </c>
      <c r="I49" s="43">
        <f t="shared" si="18"/>
        <v>700000</v>
      </c>
      <c r="J49" s="43">
        <f t="shared" si="18"/>
        <v>0</v>
      </c>
      <c r="K49" s="43">
        <f t="shared" si="18"/>
        <v>0</v>
      </c>
      <c r="L49" s="141">
        <f t="shared" si="17"/>
        <v>0.58333333333333337</v>
      </c>
    </row>
    <row r="50" spans="2:12" s="2" customFormat="1" x14ac:dyDescent="0.3">
      <c r="B50" s="24">
        <v>20</v>
      </c>
      <c r="C50" s="24" t="s">
        <v>74</v>
      </c>
      <c r="D50" s="40"/>
      <c r="E50" s="40"/>
      <c r="F50" s="40"/>
      <c r="G50" s="40"/>
      <c r="H50" s="40"/>
      <c r="I50" s="40"/>
      <c r="J50" s="40"/>
      <c r="K50" s="40"/>
      <c r="L50" s="49" t="s">
        <v>142</v>
      </c>
    </row>
    <row r="51" spans="2:12" s="2" customFormat="1" x14ac:dyDescent="0.3">
      <c r="B51" s="24">
        <v>21</v>
      </c>
      <c r="C51" s="24" t="s">
        <v>76</v>
      </c>
      <c r="D51" s="40"/>
      <c r="E51" s="40"/>
      <c r="F51" s="40"/>
      <c r="G51" s="40"/>
      <c r="H51" s="40"/>
      <c r="I51" s="40"/>
      <c r="J51" s="40"/>
      <c r="K51" s="40"/>
      <c r="L51" s="49" t="s">
        <v>142</v>
      </c>
    </row>
    <row r="52" spans="2:12" s="1" customFormat="1" x14ac:dyDescent="0.3">
      <c r="B52" s="28"/>
      <c r="C52" s="28" t="s">
        <v>80</v>
      </c>
      <c r="D52" s="43">
        <f>SUM(D50:D51)</f>
        <v>0</v>
      </c>
      <c r="E52" s="43">
        <f t="shared" ref="E52:K52" si="19">SUM(E50:E51)</f>
        <v>0</v>
      </c>
      <c r="F52" s="43">
        <f t="shared" si="19"/>
        <v>0</v>
      </c>
      <c r="G52" s="43">
        <f t="shared" si="19"/>
        <v>0</v>
      </c>
      <c r="H52" s="43">
        <f t="shared" si="19"/>
        <v>0</v>
      </c>
      <c r="I52" s="43">
        <f t="shared" si="19"/>
        <v>0</v>
      </c>
      <c r="J52" s="43">
        <f t="shared" si="19"/>
        <v>0</v>
      </c>
      <c r="K52" s="43">
        <f t="shared" si="19"/>
        <v>0</v>
      </c>
      <c r="L52" s="49" t="s">
        <v>142</v>
      </c>
    </row>
    <row r="53" spans="2:12" s="1" customFormat="1" ht="15" thickBot="1" x14ac:dyDescent="0.35">
      <c r="B53" s="29"/>
      <c r="C53" s="29" t="s">
        <v>81</v>
      </c>
      <c r="D53" s="44">
        <f>D49+D52</f>
        <v>1200000</v>
      </c>
      <c r="E53" s="44">
        <f t="shared" ref="E53:K53" si="20">E49+E52</f>
        <v>0</v>
      </c>
      <c r="F53" s="44">
        <f t="shared" si="20"/>
        <v>0</v>
      </c>
      <c r="G53" s="44">
        <f t="shared" si="20"/>
        <v>1200000</v>
      </c>
      <c r="H53" s="44">
        <f t="shared" si="20"/>
        <v>700000</v>
      </c>
      <c r="I53" s="44">
        <f t="shared" si="20"/>
        <v>700000</v>
      </c>
      <c r="J53" s="44">
        <f t="shared" si="20"/>
        <v>0</v>
      </c>
      <c r="K53" s="44">
        <f t="shared" si="20"/>
        <v>0</v>
      </c>
      <c r="L53" s="142">
        <f t="shared" ref="L53" si="21">I53/G53</f>
        <v>0.58333333333333337</v>
      </c>
    </row>
    <row r="54" spans="2:12" x14ac:dyDescent="0.3">
      <c r="D54" s="8"/>
      <c r="E54" s="8"/>
      <c r="F54" s="8"/>
      <c r="G54" s="8"/>
      <c r="H54" s="8"/>
      <c r="I54" s="8"/>
      <c r="J54" s="8"/>
      <c r="K54" s="8"/>
      <c r="L54" s="8"/>
    </row>
    <row r="55" spans="2:12" x14ac:dyDescent="0.3">
      <c r="D55" s="8"/>
      <c r="E55" s="8"/>
      <c r="F55" s="8"/>
      <c r="G55" s="8"/>
      <c r="H55" s="8"/>
      <c r="I55" s="8"/>
      <c r="J55" s="8"/>
      <c r="K55" s="8"/>
      <c r="L55" s="8"/>
    </row>
    <row r="56" spans="2:12" x14ac:dyDescent="0.3">
      <c r="D56" s="8"/>
      <c r="E56" s="8"/>
      <c r="F56" s="8"/>
      <c r="G56" s="8"/>
      <c r="H56" s="8"/>
      <c r="I56" s="8"/>
      <c r="J56" s="8"/>
      <c r="K56" s="8"/>
      <c r="L56" s="8"/>
    </row>
    <row r="57" spans="2:12" x14ac:dyDescent="0.3">
      <c r="D57" s="8"/>
      <c r="E57" s="8"/>
      <c r="F57" s="8"/>
      <c r="G57" s="8"/>
      <c r="H57" s="8"/>
      <c r="I57" s="8"/>
      <c r="J57" s="8"/>
      <c r="K57" s="8"/>
      <c r="L57" s="8"/>
    </row>
    <row r="58" spans="2:12" x14ac:dyDescent="0.3">
      <c r="D58" s="8"/>
      <c r="E58" s="8"/>
      <c r="F58" s="8"/>
      <c r="G58" s="8"/>
      <c r="H58" s="8"/>
      <c r="I58" s="8"/>
      <c r="J58" s="8"/>
      <c r="K58" s="8"/>
      <c r="L58" s="8"/>
    </row>
    <row r="59" spans="2:12" x14ac:dyDescent="0.3">
      <c r="D59" s="8"/>
      <c r="E59" s="8"/>
      <c r="F59" s="8"/>
      <c r="G59" s="8"/>
      <c r="H59" s="8"/>
      <c r="I59" s="8"/>
      <c r="J59" s="8"/>
      <c r="K59" s="8"/>
      <c r="L59" s="8"/>
    </row>
    <row r="60" spans="2:12" x14ac:dyDescent="0.3">
      <c r="D60" s="8"/>
      <c r="E60" s="8"/>
      <c r="F60" s="8"/>
      <c r="G60" s="8"/>
      <c r="H60" s="8"/>
      <c r="I60" s="8"/>
      <c r="J60" s="8"/>
      <c r="K60" s="8"/>
      <c r="L60" s="8"/>
    </row>
    <row r="61" spans="2:12" x14ac:dyDescent="0.3">
      <c r="D61" s="8"/>
      <c r="E61" s="8"/>
      <c r="F61" s="8"/>
      <c r="G61" s="8"/>
      <c r="H61" s="8"/>
      <c r="I61" s="8"/>
      <c r="J61" s="8"/>
      <c r="K61" s="8"/>
      <c r="L61" s="8"/>
    </row>
    <row r="62" spans="2:12" x14ac:dyDescent="0.3">
      <c r="D62" s="8"/>
      <c r="E62" s="8"/>
      <c r="F62" s="8"/>
      <c r="G62" s="8"/>
      <c r="H62" s="8"/>
      <c r="I62" s="8"/>
      <c r="J62" s="8"/>
      <c r="K62" s="8"/>
      <c r="L62" s="8"/>
    </row>
    <row r="63" spans="2:12" x14ac:dyDescent="0.3">
      <c r="D63" s="8"/>
      <c r="E63" s="8"/>
      <c r="F63" s="8"/>
      <c r="G63" s="8"/>
      <c r="H63" s="8"/>
      <c r="I63" s="8"/>
      <c r="J63" s="8"/>
      <c r="K63" s="8"/>
      <c r="L63" s="8"/>
    </row>
    <row r="64" spans="2:12" x14ac:dyDescent="0.3">
      <c r="D64" s="8"/>
      <c r="E64" s="8"/>
      <c r="F64" s="8"/>
      <c r="G64" s="8"/>
      <c r="H64" s="8"/>
      <c r="I64" s="8"/>
      <c r="J64" s="8"/>
      <c r="K64" s="8"/>
      <c r="L64" s="8"/>
    </row>
    <row r="65" spans="4:12" x14ac:dyDescent="0.3">
      <c r="D65" s="8"/>
      <c r="E65" s="8"/>
      <c r="F65" s="8"/>
      <c r="G65" s="8"/>
      <c r="H65" s="8"/>
      <c r="I65" s="8"/>
      <c r="J65" s="8"/>
      <c r="K65" s="8"/>
      <c r="L65" s="8"/>
    </row>
    <row r="66" spans="4:12" x14ac:dyDescent="0.3">
      <c r="D66" s="8"/>
      <c r="E66" s="8"/>
      <c r="F66" s="8"/>
      <c r="G66" s="8"/>
      <c r="H66" s="8"/>
      <c r="I66" s="8"/>
      <c r="J66" s="8"/>
      <c r="K66" s="8"/>
      <c r="L66" s="8"/>
    </row>
    <row r="67" spans="4:12" x14ac:dyDescent="0.3">
      <c r="D67" s="8"/>
      <c r="E67" s="8"/>
      <c r="F67" s="8"/>
      <c r="G67" s="8"/>
      <c r="H67" s="8"/>
      <c r="I67" s="8"/>
      <c r="J67" s="8"/>
      <c r="K67" s="8"/>
      <c r="L67" s="8"/>
    </row>
    <row r="68" spans="4:12" x14ac:dyDescent="0.3">
      <c r="D68" s="8"/>
      <c r="E68" s="8"/>
      <c r="F68" s="8"/>
      <c r="G68" s="8"/>
      <c r="H68" s="8"/>
      <c r="I68" s="8"/>
      <c r="J68" s="8"/>
      <c r="K68" s="8"/>
      <c r="L68" s="8"/>
    </row>
    <row r="69" spans="4:12" x14ac:dyDescent="0.3">
      <c r="D69" s="8"/>
      <c r="E69" s="8"/>
      <c r="F69" s="8"/>
      <c r="G69" s="8"/>
      <c r="H69" s="8"/>
      <c r="I69" s="8"/>
      <c r="J69" s="8"/>
      <c r="K69" s="8"/>
      <c r="L69" s="8"/>
    </row>
    <row r="70" spans="4:12" x14ac:dyDescent="0.3">
      <c r="D70" s="8"/>
      <c r="E70" s="8"/>
      <c r="F70" s="8"/>
      <c r="G70" s="8"/>
      <c r="H70" s="8"/>
      <c r="I70" s="8"/>
      <c r="J70" s="8"/>
      <c r="K70" s="8"/>
      <c r="L70" s="8"/>
    </row>
    <row r="71" spans="4:12" x14ac:dyDescent="0.3">
      <c r="D71" s="8"/>
      <c r="E71" s="8"/>
      <c r="F71" s="8"/>
      <c r="G71" s="8"/>
      <c r="H71" s="8"/>
      <c r="I71" s="8"/>
      <c r="J71" s="8"/>
      <c r="K71" s="8"/>
      <c r="L71" s="8"/>
    </row>
    <row r="72" spans="4:12" x14ac:dyDescent="0.3">
      <c r="D72" s="8"/>
      <c r="E72" s="8"/>
      <c r="F72" s="8"/>
      <c r="G72" s="8"/>
      <c r="H72" s="8"/>
      <c r="I72" s="8"/>
      <c r="J72" s="8"/>
      <c r="K72" s="8"/>
      <c r="L72" s="8"/>
    </row>
    <row r="73" spans="4:12" x14ac:dyDescent="0.3">
      <c r="D73" s="8"/>
      <c r="E73" s="8"/>
      <c r="F73" s="8"/>
      <c r="G73" s="8"/>
      <c r="H73" s="8"/>
      <c r="I73" s="8"/>
      <c r="J73" s="8"/>
      <c r="K73" s="8"/>
      <c r="L73" s="8"/>
    </row>
    <row r="74" spans="4:12" x14ac:dyDescent="0.3">
      <c r="D74" s="8"/>
      <c r="E74" s="8"/>
      <c r="F74" s="8"/>
      <c r="G74" s="8"/>
      <c r="H74" s="8"/>
      <c r="I74" s="8"/>
      <c r="J74" s="8"/>
      <c r="K74" s="8"/>
      <c r="L74" s="8"/>
    </row>
    <row r="75" spans="4:12" x14ac:dyDescent="0.3">
      <c r="D75" s="8"/>
      <c r="E75" s="8"/>
      <c r="F75" s="8"/>
      <c r="G75" s="8"/>
      <c r="H75" s="8"/>
      <c r="I75" s="8"/>
      <c r="J75" s="8"/>
      <c r="K75" s="8"/>
      <c r="L75" s="8"/>
    </row>
    <row r="76" spans="4:12" x14ac:dyDescent="0.3">
      <c r="D76" s="8"/>
      <c r="E76" s="8"/>
      <c r="F76" s="8"/>
      <c r="G76" s="8"/>
      <c r="H76" s="8"/>
      <c r="I76" s="8"/>
      <c r="J76" s="8"/>
      <c r="K76" s="8"/>
      <c r="L76" s="8"/>
    </row>
    <row r="77" spans="4:12" x14ac:dyDescent="0.3">
      <c r="D77" s="8"/>
      <c r="E77" s="8"/>
      <c r="F77" s="8"/>
      <c r="G77" s="8"/>
      <c r="H77" s="8"/>
      <c r="I77" s="8"/>
      <c r="J77" s="8"/>
      <c r="K77" s="8"/>
      <c r="L77" s="8"/>
    </row>
    <row r="78" spans="4:12" x14ac:dyDescent="0.3">
      <c r="D78" s="8"/>
      <c r="E78" s="8"/>
      <c r="F78" s="8"/>
      <c r="G78" s="8"/>
      <c r="H78" s="8"/>
      <c r="I78" s="8"/>
      <c r="J78" s="8"/>
      <c r="K78" s="8"/>
      <c r="L78" s="8"/>
    </row>
    <row r="79" spans="4:12" x14ac:dyDescent="0.3">
      <c r="D79" s="8"/>
      <c r="E79" s="8"/>
      <c r="F79" s="8"/>
      <c r="G79" s="8"/>
      <c r="H79" s="8"/>
      <c r="I79" s="8"/>
      <c r="J79" s="8"/>
      <c r="K79" s="8"/>
      <c r="L79" s="8"/>
    </row>
    <row r="80" spans="4:12" x14ac:dyDescent="0.3">
      <c r="D80" s="8"/>
      <c r="E80" s="8"/>
      <c r="F80" s="8"/>
      <c r="G80" s="8"/>
      <c r="H80" s="8"/>
      <c r="I80" s="8"/>
      <c r="J80" s="8"/>
      <c r="K80" s="8"/>
      <c r="L80" s="8"/>
    </row>
    <row r="81" spans="4:12" x14ac:dyDescent="0.3">
      <c r="D81" s="8"/>
      <c r="E81" s="8"/>
      <c r="F81" s="8"/>
      <c r="G81" s="8"/>
      <c r="H81" s="8"/>
      <c r="I81" s="8"/>
      <c r="J81" s="8"/>
      <c r="K81" s="8"/>
      <c r="L81" s="8"/>
    </row>
    <row r="82" spans="4:12" x14ac:dyDescent="0.3">
      <c r="D82" s="8"/>
      <c r="E82" s="8"/>
      <c r="F82" s="8"/>
      <c r="G82" s="8"/>
      <c r="H82" s="8"/>
      <c r="I82" s="8"/>
      <c r="J82" s="8"/>
      <c r="K82" s="8"/>
      <c r="L82" s="8"/>
    </row>
    <row r="83" spans="4:12" x14ac:dyDescent="0.3">
      <c r="D83" s="8"/>
      <c r="E83" s="8"/>
      <c r="F83" s="8"/>
      <c r="G83" s="8"/>
      <c r="H83" s="8"/>
      <c r="I83" s="8"/>
      <c r="J83" s="8"/>
      <c r="K83" s="8"/>
      <c r="L83" s="8"/>
    </row>
    <row r="84" spans="4:12" x14ac:dyDescent="0.3">
      <c r="D84" s="8"/>
      <c r="E84" s="8"/>
      <c r="F84" s="8"/>
      <c r="G84" s="8"/>
      <c r="H84" s="8"/>
      <c r="I84" s="8"/>
      <c r="J84" s="8"/>
      <c r="K84" s="8"/>
      <c r="L84" s="8"/>
    </row>
    <row r="85" spans="4:12" x14ac:dyDescent="0.3">
      <c r="D85" s="8"/>
      <c r="E85" s="8"/>
      <c r="F85" s="8"/>
      <c r="G85" s="8"/>
      <c r="H85" s="8"/>
      <c r="I85" s="8"/>
      <c r="J85" s="8"/>
      <c r="K85" s="8"/>
      <c r="L85" s="8"/>
    </row>
    <row r="86" spans="4:12" x14ac:dyDescent="0.3">
      <c r="D86" s="8"/>
      <c r="E86" s="8"/>
      <c r="F86" s="8"/>
      <c r="G86" s="8"/>
      <c r="H86" s="8"/>
      <c r="I86" s="8"/>
      <c r="J86" s="8"/>
      <c r="K86" s="8"/>
      <c r="L86" s="8"/>
    </row>
    <row r="87" spans="4:12" x14ac:dyDescent="0.3">
      <c r="D87" s="8"/>
      <c r="E87" s="8"/>
      <c r="F87" s="8"/>
      <c r="G87" s="8"/>
      <c r="H87" s="8"/>
      <c r="I87" s="8"/>
      <c r="J87" s="8"/>
      <c r="K87" s="8"/>
      <c r="L87" s="8"/>
    </row>
    <row r="88" spans="4:12" x14ac:dyDescent="0.3">
      <c r="D88" s="8"/>
      <c r="E88" s="8"/>
      <c r="F88" s="8"/>
      <c r="G88" s="8"/>
      <c r="H88" s="8"/>
      <c r="I88" s="8"/>
      <c r="J88" s="8"/>
      <c r="K88" s="8"/>
      <c r="L88" s="8"/>
    </row>
    <row r="89" spans="4:12" x14ac:dyDescent="0.3">
      <c r="D89" s="8"/>
      <c r="E89" s="8"/>
      <c r="F89" s="8"/>
      <c r="G89" s="8"/>
      <c r="H89" s="8"/>
      <c r="I89" s="8"/>
      <c r="J89" s="8"/>
      <c r="K89" s="8"/>
      <c r="L89" s="8"/>
    </row>
    <row r="90" spans="4:12" x14ac:dyDescent="0.3">
      <c r="D90" s="8"/>
      <c r="E90" s="8"/>
      <c r="F90" s="8"/>
      <c r="G90" s="8"/>
      <c r="H90" s="8"/>
      <c r="I90" s="8"/>
      <c r="J90" s="8"/>
      <c r="K90" s="8"/>
      <c r="L90" s="8"/>
    </row>
    <row r="91" spans="4:12" x14ac:dyDescent="0.3">
      <c r="D91" s="8"/>
      <c r="E91" s="8"/>
      <c r="F91" s="8"/>
      <c r="G91" s="8"/>
      <c r="H91" s="8"/>
      <c r="I91" s="8"/>
      <c r="J91" s="8"/>
      <c r="K91" s="8"/>
      <c r="L91" s="8"/>
    </row>
    <row r="92" spans="4:12" x14ac:dyDescent="0.3">
      <c r="D92" s="8"/>
      <c r="E92" s="8"/>
      <c r="F92" s="8"/>
      <c r="G92" s="8"/>
      <c r="H92" s="8"/>
      <c r="I92" s="8"/>
      <c r="J92" s="8"/>
      <c r="K92" s="8"/>
      <c r="L92" s="8"/>
    </row>
    <row r="93" spans="4:12" x14ac:dyDescent="0.3">
      <c r="D93" s="8"/>
      <c r="E93" s="8"/>
      <c r="F93" s="8"/>
      <c r="G93" s="8"/>
      <c r="H93" s="8"/>
      <c r="I93" s="8"/>
      <c r="J93" s="8"/>
      <c r="K93" s="8"/>
      <c r="L93" s="8"/>
    </row>
    <row r="94" spans="4:12" x14ac:dyDescent="0.3">
      <c r="D94" s="8"/>
      <c r="E94" s="8"/>
      <c r="F94" s="8"/>
      <c r="G94" s="8"/>
      <c r="H94" s="8"/>
      <c r="I94" s="8"/>
      <c r="J94" s="8"/>
      <c r="K94" s="8"/>
      <c r="L94" s="8"/>
    </row>
  </sheetData>
  <mergeCells count="1">
    <mergeCell ref="E1:I1"/>
  </mergeCells>
  <pageMargins left="0.23622047244094491" right="0.23622047244094491" top="0.15748031496062992" bottom="0.35433070866141736" header="0.31496062992125984" footer="0.31496062992125984"/>
  <pageSetup paperSize="9" scale="65" orientation="landscape" r:id="rId1"/>
  <ignoredErrors>
    <ignoredError sqref="K14" 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L114"/>
  <sheetViews>
    <sheetView zoomScale="80" zoomScaleNormal="80" zoomScaleSheetLayoutView="80" workbookViewId="0">
      <selection activeCell="E28" sqref="E28"/>
    </sheetView>
  </sheetViews>
  <sheetFormatPr baseColWidth="10" defaultColWidth="10.77734375" defaultRowHeight="14.4" x14ac:dyDescent="0.3"/>
  <cols>
    <col min="3" max="3" width="50.44140625" customWidth="1"/>
    <col min="4" max="4" width="18.77734375" customWidth="1"/>
    <col min="5" max="5" width="14.109375" customWidth="1"/>
    <col min="6" max="6" width="13" customWidth="1"/>
    <col min="7" max="7" width="13.88671875" customWidth="1"/>
    <col min="8" max="8" width="14.5546875" customWidth="1"/>
    <col min="9" max="9" width="17.33203125" customWidth="1"/>
    <col min="10" max="10" width="13.44140625" customWidth="1"/>
    <col min="11" max="12" width="14" customWidth="1"/>
  </cols>
  <sheetData>
    <row r="1" spans="2:12" s="1" customFormat="1" x14ac:dyDescent="0.3">
      <c r="E1" s="1" t="s">
        <v>48</v>
      </c>
    </row>
    <row r="2" spans="2:12" ht="15.6" x14ac:dyDescent="0.3">
      <c r="B2" s="133" t="s">
        <v>248</v>
      </c>
      <c r="D2" t="s">
        <v>158</v>
      </c>
      <c r="E2" t="s">
        <v>159</v>
      </c>
    </row>
    <row r="3" spans="2:12" s="1" customFormat="1" ht="15" thickBot="1" x14ac:dyDescent="0.35">
      <c r="E3" s="1" t="s">
        <v>26</v>
      </c>
    </row>
    <row r="4" spans="2:12" ht="43.8" thickBot="1" x14ac:dyDescent="0.35">
      <c r="B4" s="23" t="s">
        <v>0</v>
      </c>
      <c r="C4" s="23" t="s">
        <v>1</v>
      </c>
      <c r="D4" s="23" t="s">
        <v>2</v>
      </c>
      <c r="E4" s="23" t="s">
        <v>3</v>
      </c>
      <c r="F4" s="45" t="s">
        <v>4</v>
      </c>
      <c r="G4" s="48" t="s">
        <v>24</v>
      </c>
      <c r="H4" s="23" t="s">
        <v>42</v>
      </c>
      <c r="I4" s="48" t="s">
        <v>46</v>
      </c>
      <c r="J4" s="48" t="s">
        <v>44</v>
      </c>
      <c r="K4" s="48" t="s">
        <v>45</v>
      </c>
      <c r="L4" s="48" t="s">
        <v>47</v>
      </c>
    </row>
    <row r="5" spans="2:12" s="2" customFormat="1" x14ac:dyDescent="0.3">
      <c r="B5" s="24">
        <v>60</v>
      </c>
      <c r="C5" s="24" t="s">
        <v>51</v>
      </c>
      <c r="D5" s="40">
        <f>SUM(D6:D13)</f>
        <v>15292800</v>
      </c>
      <c r="E5" s="40">
        <f t="shared" ref="E5:J5" si="0">SUM(E6:E13)</f>
        <v>0</v>
      </c>
      <c r="F5" s="40">
        <f t="shared" si="0"/>
        <v>0</v>
      </c>
      <c r="G5" s="40">
        <f t="shared" si="0"/>
        <v>15292800</v>
      </c>
      <c r="H5" s="40">
        <f t="shared" si="0"/>
        <v>7500000</v>
      </c>
      <c r="I5" s="40">
        <f t="shared" si="0"/>
        <v>7500000</v>
      </c>
      <c r="J5" s="40">
        <f t="shared" si="0"/>
        <v>7500000</v>
      </c>
      <c r="K5" s="40">
        <f t="shared" ref="K5" si="1">SUM(K6:K13)</f>
        <v>0</v>
      </c>
      <c r="L5" s="141">
        <f>I5/G5</f>
        <v>0.49042686754551162</v>
      </c>
    </row>
    <row r="6" spans="2:12" x14ac:dyDescent="0.3">
      <c r="B6" s="25">
        <v>6011</v>
      </c>
      <c r="C6" s="25" t="s">
        <v>52</v>
      </c>
      <c r="D6" s="41">
        <v>8160000</v>
      </c>
      <c r="E6" s="41"/>
      <c r="F6" s="41"/>
      <c r="G6" s="41">
        <v>8160000</v>
      </c>
      <c r="H6" s="41">
        <v>5100000</v>
      </c>
      <c r="I6" s="41">
        <v>5100000</v>
      </c>
      <c r="J6" s="41">
        <v>5100000</v>
      </c>
      <c r="K6" s="41">
        <f>I6-J6</f>
        <v>0</v>
      </c>
      <c r="L6" s="141">
        <f t="shared" ref="L6:L43" si="2">I6/G6</f>
        <v>0.625</v>
      </c>
    </row>
    <row r="7" spans="2:12" x14ac:dyDescent="0.3">
      <c r="B7" s="25">
        <v>6012</v>
      </c>
      <c r="C7" s="25" t="s">
        <v>53</v>
      </c>
      <c r="D7" s="41">
        <v>4800000</v>
      </c>
      <c r="E7" s="41"/>
      <c r="F7" s="41"/>
      <c r="G7" s="41">
        <v>4800000</v>
      </c>
      <c r="H7" s="41">
        <v>2400000</v>
      </c>
      <c r="I7" s="41">
        <v>2400000</v>
      </c>
      <c r="J7" s="41">
        <v>2400000</v>
      </c>
      <c r="K7" s="41">
        <f t="shared" ref="K7:K12" si="3">I7-J7</f>
        <v>0</v>
      </c>
      <c r="L7" s="141">
        <f t="shared" si="2"/>
        <v>0.5</v>
      </c>
    </row>
    <row r="8" spans="2:12" hidden="1" x14ac:dyDescent="0.3">
      <c r="B8" s="25">
        <v>6021</v>
      </c>
      <c r="C8" s="25" t="s">
        <v>143</v>
      </c>
      <c r="D8" s="41" t="s">
        <v>142</v>
      </c>
      <c r="E8" s="41"/>
      <c r="F8" s="41" t="s">
        <v>142</v>
      </c>
      <c r="G8" s="41" t="s">
        <v>142</v>
      </c>
      <c r="H8" s="41"/>
      <c r="I8" s="41"/>
      <c r="J8" s="41"/>
      <c r="K8" s="41"/>
      <c r="L8" s="141" t="e">
        <f t="shared" si="2"/>
        <v>#VALUE!</v>
      </c>
    </row>
    <row r="9" spans="2:12" hidden="1" x14ac:dyDescent="0.3">
      <c r="B9" s="25">
        <v>6022</v>
      </c>
      <c r="C9" s="25" t="s">
        <v>144</v>
      </c>
      <c r="D9" s="41" t="s">
        <v>142</v>
      </c>
      <c r="E9" s="41"/>
      <c r="F9" s="41" t="s">
        <v>142</v>
      </c>
      <c r="G9" s="41" t="s">
        <v>142</v>
      </c>
      <c r="H9" s="41"/>
      <c r="I9" s="41"/>
      <c r="J9" s="41"/>
      <c r="K9" s="41"/>
      <c r="L9" s="141" t="e">
        <f t="shared" si="2"/>
        <v>#VALUE!</v>
      </c>
    </row>
    <row r="10" spans="2:12" hidden="1" x14ac:dyDescent="0.3">
      <c r="B10" s="25">
        <v>6031</v>
      </c>
      <c r="C10" s="25" t="s">
        <v>54</v>
      </c>
      <c r="D10" s="41"/>
      <c r="E10" s="41"/>
      <c r="F10" s="41"/>
      <c r="G10" s="41"/>
      <c r="H10" s="41"/>
      <c r="I10" s="41"/>
      <c r="J10" s="41"/>
      <c r="K10" s="41">
        <f t="shared" si="3"/>
        <v>0</v>
      </c>
      <c r="L10" s="141" t="e">
        <f t="shared" si="2"/>
        <v>#DIV/0!</v>
      </c>
    </row>
    <row r="11" spans="2:12" hidden="1" x14ac:dyDescent="0.3">
      <c r="B11" s="25">
        <v>6032</v>
      </c>
      <c r="C11" s="25" t="s">
        <v>55</v>
      </c>
      <c r="D11" s="41" t="s">
        <v>142</v>
      </c>
      <c r="E11" s="41"/>
      <c r="F11" s="41" t="s">
        <v>142</v>
      </c>
      <c r="G11" s="41" t="s">
        <v>142</v>
      </c>
      <c r="H11" s="41"/>
      <c r="I11" s="41"/>
      <c r="J11" s="41"/>
      <c r="K11" s="41">
        <f t="shared" si="3"/>
        <v>0</v>
      </c>
      <c r="L11" s="141" t="e">
        <f t="shared" si="2"/>
        <v>#VALUE!</v>
      </c>
    </row>
    <row r="12" spans="2:12" x14ac:dyDescent="0.3">
      <c r="B12" s="25">
        <v>6061</v>
      </c>
      <c r="C12" s="25" t="s">
        <v>56</v>
      </c>
      <c r="D12" s="41">
        <v>1684800</v>
      </c>
      <c r="E12" s="41"/>
      <c r="F12" s="41"/>
      <c r="G12" s="41">
        <v>1684800</v>
      </c>
      <c r="H12" s="41"/>
      <c r="I12" s="41"/>
      <c r="J12" s="41"/>
      <c r="K12" s="41">
        <f t="shared" si="3"/>
        <v>0</v>
      </c>
      <c r="L12" s="141">
        <f t="shared" si="2"/>
        <v>0</v>
      </c>
    </row>
    <row r="13" spans="2:12" x14ac:dyDescent="0.3">
      <c r="B13" s="25">
        <v>6062</v>
      </c>
      <c r="C13" s="25" t="s">
        <v>57</v>
      </c>
      <c r="D13" s="41">
        <v>648000</v>
      </c>
      <c r="E13" s="41"/>
      <c r="F13" s="41"/>
      <c r="G13" s="41">
        <v>648000</v>
      </c>
      <c r="H13" s="41"/>
      <c r="I13" s="41"/>
      <c r="J13" s="41"/>
      <c r="K13" s="41" t="s">
        <v>142</v>
      </c>
      <c r="L13" s="141" t="s">
        <v>142</v>
      </c>
    </row>
    <row r="14" spans="2:12" s="2" customFormat="1" x14ac:dyDescent="0.3">
      <c r="B14" s="24">
        <v>61</v>
      </c>
      <c r="C14" s="24" t="s">
        <v>58</v>
      </c>
      <c r="D14" s="40">
        <f>SUM(D15:D22)</f>
        <v>4472000</v>
      </c>
      <c r="E14" s="40">
        <f t="shared" ref="E14:J14" si="4">SUM(E15:E22)</f>
        <v>0</v>
      </c>
      <c r="F14" s="40">
        <f t="shared" si="4"/>
        <v>0</v>
      </c>
      <c r="G14" s="40">
        <f t="shared" si="4"/>
        <v>4472000</v>
      </c>
      <c r="H14" s="40">
        <f t="shared" si="4"/>
        <v>2436000</v>
      </c>
      <c r="I14" s="40">
        <f t="shared" si="4"/>
        <v>2436000</v>
      </c>
      <c r="J14" s="40">
        <f t="shared" si="4"/>
        <v>2436000</v>
      </c>
      <c r="K14" s="40">
        <f t="shared" ref="K14" si="5">SUM(K15:K21)</f>
        <v>0</v>
      </c>
      <c r="L14" s="141">
        <f t="shared" si="2"/>
        <v>0.54472271914132375</v>
      </c>
    </row>
    <row r="15" spans="2:12" hidden="1" x14ac:dyDescent="0.3">
      <c r="B15" s="25">
        <v>6111</v>
      </c>
      <c r="C15" s="25" t="s">
        <v>59</v>
      </c>
      <c r="D15" s="41" t="s">
        <v>142</v>
      </c>
      <c r="E15" s="41"/>
      <c r="F15" s="41" t="s">
        <v>142</v>
      </c>
      <c r="G15" s="41" t="s">
        <v>142</v>
      </c>
      <c r="H15" s="41"/>
      <c r="I15" s="41"/>
      <c r="J15" s="41"/>
      <c r="K15" s="41">
        <f>I15-J15</f>
        <v>0</v>
      </c>
      <c r="L15" s="141" t="e">
        <f t="shared" si="2"/>
        <v>#VALUE!</v>
      </c>
    </row>
    <row r="16" spans="2:12" x14ac:dyDescent="0.3">
      <c r="B16" s="25">
        <v>6111</v>
      </c>
      <c r="C16" s="25" t="s">
        <v>229</v>
      </c>
      <c r="D16" s="41">
        <v>389000</v>
      </c>
      <c r="E16" s="41"/>
      <c r="F16" s="41"/>
      <c r="G16" s="41">
        <v>389000</v>
      </c>
      <c r="H16" s="41">
        <v>389000</v>
      </c>
      <c r="I16" s="41">
        <v>389000</v>
      </c>
      <c r="J16" s="41">
        <v>389000</v>
      </c>
      <c r="K16" s="41"/>
      <c r="L16" s="141">
        <f t="shared" si="2"/>
        <v>1</v>
      </c>
    </row>
    <row r="17" spans="2:12" x14ac:dyDescent="0.3">
      <c r="B17" s="25">
        <v>6112</v>
      </c>
      <c r="C17" s="25" t="s">
        <v>60</v>
      </c>
      <c r="D17" s="41">
        <v>720000</v>
      </c>
      <c r="E17" s="41"/>
      <c r="F17" s="41" t="s">
        <v>142</v>
      </c>
      <c r="G17" s="41">
        <v>720000</v>
      </c>
      <c r="H17" s="41">
        <v>720000</v>
      </c>
      <c r="I17" s="41">
        <v>720000</v>
      </c>
      <c r="J17" s="41">
        <v>720000</v>
      </c>
      <c r="K17" s="41">
        <f t="shared" ref="K17:K19" si="6">I17-J17</f>
        <v>0</v>
      </c>
      <c r="L17" s="141">
        <f t="shared" si="2"/>
        <v>1</v>
      </c>
    </row>
    <row r="18" spans="2:12" x14ac:dyDescent="0.3">
      <c r="B18" s="25">
        <v>6117</v>
      </c>
      <c r="C18" s="25" t="s">
        <v>63</v>
      </c>
      <c r="D18" s="41">
        <v>1412000</v>
      </c>
      <c r="E18" s="41"/>
      <c r="F18" s="41" t="s">
        <v>142</v>
      </c>
      <c r="G18" s="41">
        <v>1412000</v>
      </c>
      <c r="H18" s="41">
        <v>412000</v>
      </c>
      <c r="I18" s="41">
        <v>412000</v>
      </c>
      <c r="J18" s="41">
        <v>412000</v>
      </c>
      <c r="K18" s="41">
        <f t="shared" si="6"/>
        <v>0</v>
      </c>
      <c r="L18" s="141">
        <f t="shared" si="2"/>
        <v>0.29178470254957506</v>
      </c>
    </row>
    <row r="19" spans="2:12" hidden="1" x14ac:dyDescent="0.3">
      <c r="B19" s="25">
        <v>6114</v>
      </c>
      <c r="C19" s="25" t="s">
        <v>62</v>
      </c>
      <c r="D19" s="41" t="s">
        <v>142</v>
      </c>
      <c r="E19" s="41"/>
      <c r="F19" s="41"/>
      <c r="G19" s="41" t="s">
        <v>142</v>
      </c>
      <c r="H19" s="41"/>
      <c r="I19" s="41"/>
      <c r="J19" s="41"/>
      <c r="K19" s="41">
        <f t="shared" si="6"/>
        <v>0</v>
      </c>
      <c r="L19" s="141" t="e">
        <f t="shared" si="2"/>
        <v>#VALUE!</v>
      </c>
    </row>
    <row r="20" spans="2:12" hidden="1" x14ac:dyDescent="0.3">
      <c r="B20" s="25">
        <v>6128</v>
      </c>
      <c r="C20" s="25" t="s">
        <v>145</v>
      </c>
      <c r="D20" s="41" t="s">
        <v>142</v>
      </c>
      <c r="E20" s="41"/>
      <c r="F20" s="41"/>
      <c r="G20" s="41" t="s">
        <v>142</v>
      </c>
      <c r="H20" s="41"/>
      <c r="I20" s="41"/>
      <c r="J20" s="41"/>
      <c r="K20" s="41"/>
      <c r="L20" s="141" t="e">
        <f t="shared" si="2"/>
        <v>#VALUE!</v>
      </c>
    </row>
    <row r="21" spans="2:12" hidden="1" x14ac:dyDescent="0.3">
      <c r="B21" s="25">
        <v>6131</v>
      </c>
      <c r="C21" s="25" t="s">
        <v>146</v>
      </c>
      <c r="D21" s="41" t="s">
        <v>142</v>
      </c>
      <c r="E21" s="41"/>
      <c r="F21" s="41"/>
      <c r="G21" s="41" t="s">
        <v>142</v>
      </c>
      <c r="H21" s="41"/>
      <c r="I21" s="41"/>
      <c r="J21" s="41"/>
      <c r="K21" s="41"/>
      <c r="L21" s="141" t="e">
        <f t="shared" si="2"/>
        <v>#VALUE!</v>
      </c>
    </row>
    <row r="22" spans="2:12" x14ac:dyDescent="0.3">
      <c r="B22" s="25">
        <v>6131</v>
      </c>
      <c r="C22" s="25" t="s">
        <v>230</v>
      </c>
      <c r="D22" s="41">
        <v>1951000</v>
      </c>
      <c r="E22" s="41"/>
      <c r="F22" s="41"/>
      <c r="G22" s="41">
        <v>1951000</v>
      </c>
      <c r="H22" s="41">
        <v>915000</v>
      </c>
      <c r="I22" s="41">
        <v>915000</v>
      </c>
      <c r="J22" s="41">
        <v>915000</v>
      </c>
      <c r="K22" s="41"/>
      <c r="L22" s="141">
        <f t="shared" si="2"/>
        <v>0.46899026140440797</v>
      </c>
    </row>
    <row r="23" spans="2:12" s="2" customFormat="1" x14ac:dyDescent="0.3">
      <c r="B23" s="24">
        <v>62</v>
      </c>
      <c r="C23" s="24" t="s">
        <v>67</v>
      </c>
      <c r="D23" s="40">
        <f>SUM(D24:D36)</f>
        <v>13107600</v>
      </c>
      <c r="E23" s="40">
        <f t="shared" ref="E23:J23" si="7">SUM(E24:E36)</f>
        <v>0</v>
      </c>
      <c r="F23" s="40">
        <f t="shared" si="7"/>
        <v>0</v>
      </c>
      <c r="G23" s="40">
        <f t="shared" si="7"/>
        <v>13107600</v>
      </c>
      <c r="H23" s="40">
        <f t="shared" si="7"/>
        <v>7015600</v>
      </c>
      <c r="I23" s="40">
        <f t="shared" si="7"/>
        <v>7015600</v>
      </c>
      <c r="J23" s="40">
        <f t="shared" si="7"/>
        <v>7015600</v>
      </c>
      <c r="K23" s="40">
        <f>SUM(K26:K33)</f>
        <v>0</v>
      </c>
      <c r="L23" s="141">
        <f t="shared" si="2"/>
        <v>0.53523146876621197</v>
      </c>
    </row>
    <row r="24" spans="2:12" s="2" customFormat="1" x14ac:dyDescent="0.3">
      <c r="B24" s="26">
        <v>6211</v>
      </c>
      <c r="C24" s="30" t="s">
        <v>172</v>
      </c>
      <c r="D24" s="41">
        <v>4000000</v>
      </c>
      <c r="E24" s="41"/>
      <c r="F24" s="41"/>
      <c r="G24" s="41">
        <v>4000000</v>
      </c>
      <c r="H24" s="41"/>
      <c r="I24" s="41"/>
      <c r="J24" s="41"/>
      <c r="K24" s="40"/>
      <c r="L24" s="141">
        <f t="shared" si="2"/>
        <v>0</v>
      </c>
    </row>
    <row r="25" spans="2:12" s="2" customFormat="1" x14ac:dyDescent="0.3">
      <c r="B25" s="26">
        <v>6213</v>
      </c>
      <c r="C25" s="30" t="s">
        <v>65</v>
      </c>
      <c r="D25" s="41">
        <v>720000</v>
      </c>
      <c r="E25" s="41"/>
      <c r="F25" s="41"/>
      <c r="G25" s="41">
        <v>720000</v>
      </c>
      <c r="H25" s="41">
        <v>720000</v>
      </c>
      <c r="I25" s="41">
        <v>720000</v>
      </c>
      <c r="J25" s="41">
        <v>720000</v>
      </c>
      <c r="K25" s="40"/>
      <c r="L25" s="141">
        <f t="shared" si="2"/>
        <v>1</v>
      </c>
    </row>
    <row r="26" spans="2:12" s="2" customFormat="1" x14ac:dyDescent="0.3">
      <c r="B26" s="26">
        <v>6221</v>
      </c>
      <c r="C26" s="30" t="s">
        <v>160</v>
      </c>
      <c r="D26" s="42">
        <v>4000000</v>
      </c>
      <c r="E26" s="40"/>
      <c r="F26" s="40"/>
      <c r="G26" s="42">
        <v>4000000</v>
      </c>
      <c r="H26" s="42">
        <v>4000000</v>
      </c>
      <c r="I26" s="42">
        <v>4000000</v>
      </c>
      <c r="J26" s="42">
        <v>4000000</v>
      </c>
      <c r="K26" s="40"/>
      <c r="L26" s="141">
        <f t="shared" si="2"/>
        <v>1</v>
      </c>
    </row>
    <row r="27" spans="2:12" hidden="1" x14ac:dyDescent="0.3">
      <c r="B27" s="25">
        <v>6224</v>
      </c>
      <c r="C27" s="25" t="s">
        <v>147</v>
      </c>
      <c r="D27" s="41" t="s">
        <v>142</v>
      </c>
      <c r="E27" s="41"/>
      <c r="F27" s="41" t="s">
        <v>142</v>
      </c>
      <c r="G27" s="41" t="s">
        <v>142</v>
      </c>
      <c r="H27" s="41"/>
      <c r="I27" s="41"/>
      <c r="J27" s="41"/>
      <c r="K27" s="41">
        <f>I27-J27</f>
        <v>0</v>
      </c>
      <c r="L27" s="141" t="e">
        <f t="shared" si="2"/>
        <v>#VALUE!</v>
      </c>
    </row>
    <row r="28" spans="2:12" x14ac:dyDescent="0.3">
      <c r="B28" s="25">
        <v>6224</v>
      </c>
      <c r="C28" s="25" t="s">
        <v>231</v>
      </c>
      <c r="D28" s="41">
        <v>1600000</v>
      </c>
      <c r="E28" s="41"/>
      <c r="F28" s="41"/>
      <c r="G28" s="41">
        <v>1600000</v>
      </c>
      <c r="H28" s="41">
        <v>600000</v>
      </c>
      <c r="I28" s="41">
        <v>600000</v>
      </c>
      <c r="J28" s="41">
        <v>600000</v>
      </c>
      <c r="K28" s="41"/>
      <c r="L28" s="141">
        <f t="shared" si="2"/>
        <v>0.375</v>
      </c>
    </row>
    <row r="29" spans="2:12" x14ac:dyDescent="0.3">
      <c r="B29" s="25">
        <v>6231</v>
      </c>
      <c r="C29" s="25" t="s">
        <v>148</v>
      </c>
      <c r="D29" s="41">
        <v>900000</v>
      </c>
      <c r="E29" s="41"/>
      <c r="F29" s="41"/>
      <c r="G29" s="41">
        <v>900000</v>
      </c>
      <c r="H29" s="41">
        <v>900000</v>
      </c>
      <c r="I29" s="41">
        <v>900000</v>
      </c>
      <c r="J29" s="41">
        <v>900000</v>
      </c>
      <c r="K29" s="41">
        <f t="shared" ref="K29:K31" si="8">I29-J29</f>
        <v>0</v>
      </c>
      <c r="L29" s="141">
        <f t="shared" si="2"/>
        <v>1</v>
      </c>
    </row>
    <row r="30" spans="2:12" x14ac:dyDescent="0.3">
      <c r="B30" s="25">
        <v>6235</v>
      </c>
      <c r="C30" s="25" t="s">
        <v>161</v>
      </c>
      <c r="D30" s="41"/>
      <c r="E30" s="41"/>
      <c r="F30" s="41"/>
      <c r="G30" s="41"/>
      <c r="H30" s="41"/>
      <c r="I30" s="41"/>
      <c r="J30" s="41"/>
      <c r="K30" s="41"/>
      <c r="L30" s="141"/>
    </row>
    <row r="31" spans="2:12" x14ac:dyDescent="0.3">
      <c r="B31" s="25">
        <v>6241</v>
      </c>
      <c r="C31" s="25" t="s">
        <v>149</v>
      </c>
      <c r="D31" s="41">
        <v>470000</v>
      </c>
      <c r="E31" s="41"/>
      <c r="F31" s="41"/>
      <c r="G31" s="41">
        <v>470000</v>
      </c>
      <c r="H31" s="41">
        <v>470000</v>
      </c>
      <c r="I31" s="41">
        <v>470000</v>
      </c>
      <c r="J31" s="41">
        <v>470000</v>
      </c>
      <c r="K31" s="41">
        <f t="shared" si="8"/>
        <v>0</v>
      </c>
      <c r="L31" s="141">
        <f t="shared" si="2"/>
        <v>1</v>
      </c>
    </row>
    <row r="32" spans="2:12" hidden="1" x14ac:dyDescent="0.3">
      <c r="B32" s="25">
        <v>6285</v>
      </c>
      <c r="C32" s="25" t="s">
        <v>150</v>
      </c>
      <c r="D32" s="41" t="s">
        <v>142</v>
      </c>
      <c r="E32" s="41"/>
      <c r="F32" s="41"/>
      <c r="G32" s="41" t="s">
        <v>142</v>
      </c>
      <c r="H32" s="41"/>
      <c r="I32" s="41"/>
      <c r="J32" s="41"/>
      <c r="K32" s="41"/>
      <c r="L32" s="141" t="e">
        <f t="shared" si="2"/>
        <v>#VALUE!</v>
      </c>
    </row>
    <row r="33" spans="2:12" hidden="1" x14ac:dyDescent="0.3">
      <c r="B33" s="25">
        <v>6287</v>
      </c>
      <c r="C33" s="25" t="s">
        <v>151</v>
      </c>
      <c r="D33" s="41" t="s">
        <v>142</v>
      </c>
      <c r="E33" s="41"/>
      <c r="F33" s="41"/>
      <c r="G33" s="41" t="s">
        <v>142</v>
      </c>
      <c r="H33" s="41"/>
      <c r="I33" s="41"/>
      <c r="J33" s="41"/>
      <c r="K33" s="41"/>
      <c r="L33" s="141" t="e">
        <f t="shared" si="2"/>
        <v>#VALUE!</v>
      </c>
    </row>
    <row r="34" spans="2:12" x14ac:dyDescent="0.3">
      <c r="B34" s="25">
        <v>6243</v>
      </c>
      <c r="C34" s="25" t="s">
        <v>232</v>
      </c>
      <c r="D34" s="41">
        <v>196000</v>
      </c>
      <c r="E34" s="41"/>
      <c r="F34" s="41"/>
      <c r="G34" s="41">
        <v>196000</v>
      </c>
      <c r="H34" s="41">
        <v>196000</v>
      </c>
      <c r="I34" s="41">
        <v>196000</v>
      </c>
      <c r="J34" s="41">
        <v>196000</v>
      </c>
      <c r="K34" s="41"/>
      <c r="L34" s="141">
        <f t="shared" si="2"/>
        <v>1</v>
      </c>
    </row>
    <row r="35" spans="2:12" x14ac:dyDescent="0.3">
      <c r="B35" s="25">
        <v>6285</v>
      </c>
      <c r="C35" s="25" t="s">
        <v>150</v>
      </c>
      <c r="D35" s="41">
        <v>129600</v>
      </c>
      <c r="E35" s="41"/>
      <c r="F35" s="41"/>
      <c r="G35" s="41">
        <v>129600</v>
      </c>
      <c r="H35" s="41">
        <v>129600</v>
      </c>
      <c r="I35" s="41">
        <v>129600</v>
      </c>
      <c r="J35" s="41">
        <v>129600</v>
      </c>
      <c r="K35" s="41"/>
      <c r="L35" s="141">
        <f t="shared" si="2"/>
        <v>1</v>
      </c>
    </row>
    <row r="36" spans="2:12" x14ac:dyDescent="0.3">
      <c r="B36" s="25">
        <v>6287</v>
      </c>
      <c r="C36" s="25" t="s">
        <v>151</v>
      </c>
      <c r="D36" s="41">
        <v>1092000</v>
      </c>
      <c r="E36" s="41"/>
      <c r="F36" s="41"/>
      <c r="G36" s="41">
        <v>1092000</v>
      </c>
      <c r="H36" s="41"/>
      <c r="I36" s="41"/>
      <c r="J36" s="41"/>
      <c r="K36" s="41"/>
      <c r="L36" s="141"/>
    </row>
    <row r="37" spans="2:12" x14ac:dyDescent="0.3">
      <c r="B37" s="24">
        <v>63</v>
      </c>
      <c r="C37" s="28" t="s">
        <v>152</v>
      </c>
      <c r="D37" s="40">
        <f>D38</f>
        <v>1000000</v>
      </c>
      <c r="E37" s="40">
        <f t="shared" ref="E37:J37" si="9">E38</f>
        <v>0</v>
      </c>
      <c r="F37" s="40">
        <f t="shared" si="9"/>
        <v>0</v>
      </c>
      <c r="G37" s="40">
        <f t="shared" si="9"/>
        <v>1000000</v>
      </c>
      <c r="H37" s="40">
        <f t="shared" si="9"/>
        <v>1000000</v>
      </c>
      <c r="I37" s="40">
        <f t="shared" si="9"/>
        <v>1000000</v>
      </c>
      <c r="J37" s="40">
        <f t="shared" si="9"/>
        <v>1000000</v>
      </c>
      <c r="K37" s="40">
        <f t="shared" ref="K37" si="10">K38</f>
        <v>0</v>
      </c>
      <c r="L37" s="141">
        <f t="shared" si="2"/>
        <v>1</v>
      </c>
    </row>
    <row r="38" spans="2:12" ht="14.25" customHeight="1" x14ac:dyDescent="0.3">
      <c r="B38" s="25">
        <v>6310</v>
      </c>
      <c r="C38" s="25" t="s">
        <v>153</v>
      </c>
      <c r="D38" s="41">
        <v>1000000</v>
      </c>
      <c r="E38" s="41"/>
      <c r="F38" s="41"/>
      <c r="G38" s="41">
        <v>1000000</v>
      </c>
      <c r="H38" s="41">
        <v>1000000</v>
      </c>
      <c r="I38" s="41">
        <v>1000000</v>
      </c>
      <c r="J38" s="41">
        <v>1000000</v>
      </c>
      <c r="K38" s="41"/>
      <c r="L38" s="141">
        <f t="shared" si="2"/>
        <v>1</v>
      </c>
    </row>
    <row r="39" spans="2:12" s="2" customFormat="1" x14ac:dyDescent="0.3">
      <c r="B39" s="24">
        <v>65</v>
      </c>
      <c r="C39" s="24" t="s">
        <v>68</v>
      </c>
      <c r="D39" s="40">
        <f>D40</f>
        <v>0</v>
      </c>
      <c r="E39" s="40">
        <f t="shared" ref="E39:K39" si="11">E40</f>
        <v>0</v>
      </c>
      <c r="F39" s="40">
        <f t="shared" si="11"/>
        <v>0</v>
      </c>
      <c r="G39" s="40">
        <f t="shared" si="11"/>
        <v>0</v>
      </c>
      <c r="H39" s="40">
        <f t="shared" si="11"/>
        <v>0</v>
      </c>
      <c r="I39" s="40">
        <f t="shared" si="11"/>
        <v>0</v>
      </c>
      <c r="J39" s="40">
        <f t="shared" si="11"/>
        <v>0</v>
      </c>
      <c r="K39" s="40">
        <f t="shared" si="11"/>
        <v>0</v>
      </c>
      <c r="L39" s="141"/>
    </row>
    <row r="40" spans="2:12" s="6" customFormat="1" x14ac:dyDescent="0.3">
      <c r="B40" s="26">
        <v>6510</v>
      </c>
      <c r="C40" s="30" t="s">
        <v>162</v>
      </c>
      <c r="D40" s="68"/>
      <c r="E40" s="68"/>
      <c r="F40" s="68"/>
      <c r="G40" s="68"/>
      <c r="H40" s="68"/>
      <c r="I40" s="68"/>
      <c r="J40" s="68"/>
      <c r="K40" s="68">
        <f>I40-J40</f>
        <v>0</v>
      </c>
      <c r="L40" s="141"/>
    </row>
    <row r="41" spans="2:12" s="2" customFormat="1" x14ac:dyDescent="0.3">
      <c r="B41" s="27"/>
      <c r="C41" s="27" t="s">
        <v>70</v>
      </c>
      <c r="D41" s="65">
        <f>SUM(D5+D14+D23+ D37+D39)</f>
        <v>33872400</v>
      </c>
      <c r="E41" s="65">
        <f t="shared" ref="E41:J41" si="12">SUM(E5+E14+E23+ E37+E39)</f>
        <v>0</v>
      </c>
      <c r="F41" s="65">
        <f t="shared" si="12"/>
        <v>0</v>
      </c>
      <c r="G41" s="65">
        <f t="shared" si="12"/>
        <v>33872400</v>
      </c>
      <c r="H41" s="65">
        <f t="shared" si="12"/>
        <v>17951600</v>
      </c>
      <c r="I41" s="65">
        <f t="shared" si="12"/>
        <v>17951600</v>
      </c>
      <c r="J41" s="65">
        <f t="shared" si="12"/>
        <v>17951600</v>
      </c>
      <c r="K41" s="65">
        <f>SUM(K5+K14+K23+ K37+K39)</f>
        <v>0</v>
      </c>
      <c r="L41" s="141">
        <f t="shared" si="2"/>
        <v>0.52997720858279895</v>
      </c>
    </row>
    <row r="42" spans="2:12" x14ac:dyDescent="0.3">
      <c r="B42" s="25"/>
      <c r="C42" s="25" t="s">
        <v>71</v>
      </c>
      <c r="D42" s="41"/>
      <c r="E42" s="41"/>
      <c r="F42" s="41"/>
      <c r="G42" s="41"/>
      <c r="H42" s="41"/>
      <c r="I42" s="41"/>
      <c r="J42" s="41"/>
      <c r="K42" s="41"/>
      <c r="L42" s="40" t="s">
        <v>142</v>
      </c>
    </row>
    <row r="43" spans="2:12" s="1" customFormat="1" x14ac:dyDescent="0.3">
      <c r="B43" s="28"/>
      <c r="C43" s="28" t="s">
        <v>72</v>
      </c>
      <c r="D43" s="43">
        <f>D41+D42</f>
        <v>33872400</v>
      </c>
      <c r="E43" s="43">
        <f t="shared" ref="E43:K43" si="13">E41+E42</f>
        <v>0</v>
      </c>
      <c r="F43" s="43">
        <f t="shared" si="13"/>
        <v>0</v>
      </c>
      <c r="G43" s="43">
        <f t="shared" si="13"/>
        <v>33872400</v>
      </c>
      <c r="H43" s="43">
        <f t="shared" si="13"/>
        <v>17951600</v>
      </c>
      <c r="I43" s="43">
        <f t="shared" si="13"/>
        <v>17951600</v>
      </c>
      <c r="J43" s="43">
        <f t="shared" si="13"/>
        <v>17951600</v>
      </c>
      <c r="K43" s="43">
        <f t="shared" si="13"/>
        <v>0</v>
      </c>
      <c r="L43" s="141">
        <f t="shared" si="2"/>
        <v>0.52997720858279895</v>
      </c>
    </row>
    <row r="44" spans="2:12" x14ac:dyDescent="0.3">
      <c r="B44" s="25"/>
      <c r="C44" s="25"/>
      <c r="D44" s="41"/>
      <c r="E44" s="41"/>
      <c r="F44" s="41"/>
      <c r="G44" s="41"/>
      <c r="H44" s="41"/>
      <c r="I44" s="41"/>
      <c r="J44" s="41"/>
      <c r="K44" s="41"/>
      <c r="L44" s="41"/>
    </row>
    <row r="45" spans="2:12" s="1" customFormat="1" ht="15" thickBot="1" x14ac:dyDescent="0.35">
      <c r="B45" s="28"/>
      <c r="C45" s="28"/>
      <c r="D45" s="43"/>
      <c r="E45" s="43" t="s">
        <v>27</v>
      </c>
      <c r="F45" s="43"/>
      <c r="G45" s="43"/>
      <c r="H45" s="43"/>
      <c r="I45" s="43"/>
      <c r="J45" s="43"/>
      <c r="K45" s="43"/>
      <c r="L45" s="43"/>
    </row>
    <row r="46" spans="2:12" ht="43.8" thickBot="1" x14ac:dyDescent="0.35">
      <c r="B46" s="23" t="s">
        <v>0</v>
      </c>
      <c r="C46" s="23" t="s">
        <v>1</v>
      </c>
      <c r="D46" s="23" t="s">
        <v>2</v>
      </c>
      <c r="E46" s="23" t="s">
        <v>3</v>
      </c>
      <c r="F46" s="45" t="s">
        <v>4</v>
      </c>
      <c r="G46" s="48" t="s">
        <v>24</v>
      </c>
      <c r="H46" s="23" t="s">
        <v>42</v>
      </c>
      <c r="I46" s="48" t="s">
        <v>46</v>
      </c>
      <c r="J46" s="48" t="s">
        <v>44</v>
      </c>
      <c r="K46" s="48" t="s">
        <v>45</v>
      </c>
      <c r="L46" s="48" t="s">
        <v>47</v>
      </c>
    </row>
    <row r="47" spans="2:12" s="2" customFormat="1" x14ac:dyDescent="0.3">
      <c r="B47" s="24">
        <v>16</v>
      </c>
      <c r="C47" s="24" t="s">
        <v>73</v>
      </c>
      <c r="D47" s="40">
        <f>D48</f>
        <v>0</v>
      </c>
      <c r="E47" s="40">
        <f t="shared" ref="E47:K47" si="14">E48</f>
        <v>0</v>
      </c>
      <c r="F47" s="40">
        <f t="shared" si="14"/>
        <v>0</v>
      </c>
      <c r="G47" s="40">
        <f t="shared" si="14"/>
        <v>0</v>
      </c>
      <c r="H47" s="40">
        <f t="shared" si="14"/>
        <v>0</v>
      </c>
      <c r="I47" s="40">
        <f t="shared" si="14"/>
        <v>0</v>
      </c>
      <c r="J47" s="40">
        <f t="shared" si="14"/>
        <v>0</v>
      </c>
      <c r="K47" s="40">
        <f t="shared" si="14"/>
        <v>0</v>
      </c>
      <c r="L47" s="49" t="s">
        <v>142</v>
      </c>
    </row>
    <row r="48" spans="2:12" x14ac:dyDescent="0.3">
      <c r="B48" s="25"/>
      <c r="C48" s="25"/>
      <c r="D48" s="41"/>
      <c r="E48" s="41"/>
      <c r="F48" s="41"/>
      <c r="G48" s="41"/>
      <c r="H48" s="41"/>
      <c r="I48" s="41"/>
      <c r="J48" s="41"/>
      <c r="K48" s="41">
        <f>I48-J48</f>
        <v>0</v>
      </c>
      <c r="L48" s="49" t="s">
        <v>142</v>
      </c>
    </row>
    <row r="49" spans="2:12" s="2" customFormat="1" x14ac:dyDescent="0.3">
      <c r="B49" s="24">
        <v>20</v>
      </c>
      <c r="C49" s="24" t="s">
        <v>74</v>
      </c>
      <c r="D49" s="40">
        <f>SUM(D50:D51)</f>
        <v>0</v>
      </c>
      <c r="E49" s="40">
        <f t="shared" ref="E49:K49" si="15">SUM(E50:E51)</f>
        <v>0</v>
      </c>
      <c r="F49" s="40">
        <f t="shared" si="15"/>
        <v>0</v>
      </c>
      <c r="G49" s="40">
        <f t="shared" si="15"/>
        <v>0</v>
      </c>
      <c r="H49" s="40">
        <f t="shared" si="15"/>
        <v>0</v>
      </c>
      <c r="I49" s="40">
        <f t="shared" si="15"/>
        <v>0</v>
      </c>
      <c r="J49" s="40">
        <f t="shared" si="15"/>
        <v>0</v>
      </c>
      <c r="K49" s="40">
        <f t="shared" si="15"/>
        <v>0</v>
      </c>
      <c r="L49" s="141">
        <v>0</v>
      </c>
    </row>
    <row r="50" spans="2:12" hidden="1" x14ac:dyDescent="0.3">
      <c r="B50" s="25">
        <v>2014</v>
      </c>
      <c r="C50" s="25" t="s">
        <v>75</v>
      </c>
      <c r="D50" s="41"/>
      <c r="E50" s="41"/>
      <c r="F50" s="41"/>
      <c r="G50" s="41"/>
      <c r="H50" s="41"/>
      <c r="I50" s="41"/>
      <c r="J50" s="41"/>
      <c r="K50" s="41">
        <f>I50-J50</f>
        <v>0</v>
      </c>
      <c r="L50" s="49" t="e">
        <f t="shared" ref="L50:L73" si="16">I50/G50</f>
        <v>#DIV/0!</v>
      </c>
    </row>
    <row r="51" spans="2:12" x14ac:dyDescent="0.3">
      <c r="B51" s="25">
        <v>2080</v>
      </c>
      <c r="C51" s="25" t="s">
        <v>163</v>
      </c>
      <c r="D51" s="41"/>
      <c r="E51" s="41"/>
      <c r="F51" s="41"/>
      <c r="G51" s="41"/>
      <c r="H51" s="41"/>
      <c r="I51" s="41"/>
      <c r="J51" s="41"/>
      <c r="K51" s="41"/>
      <c r="L51" s="49"/>
    </row>
    <row r="52" spans="2:12" s="2" customFormat="1" x14ac:dyDescent="0.3">
      <c r="B52" s="24">
        <v>21</v>
      </c>
      <c r="C52" s="24" t="s">
        <v>76</v>
      </c>
      <c r="D52" s="40">
        <f>SUM(D53:D68)</f>
        <v>39884607</v>
      </c>
      <c r="E52" s="40">
        <f t="shared" ref="E52:J52" si="17">SUM(E53:E68)</f>
        <v>0</v>
      </c>
      <c r="F52" s="40">
        <f t="shared" si="17"/>
        <v>0</v>
      </c>
      <c r="G52" s="40">
        <f t="shared" si="17"/>
        <v>39884102</v>
      </c>
      <c r="H52" s="40">
        <f t="shared" si="17"/>
        <v>1500000</v>
      </c>
      <c r="I52" s="40">
        <f t="shared" si="17"/>
        <v>1500000</v>
      </c>
      <c r="J52" s="40">
        <f t="shared" si="17"/>
        <v>1500000</v>
      </c>
      <c r="K52" s="40">
        <f t="shared" ref="K52" si="18">SUM(K53:K67)</f>
        <v>0</v>
      </c>
      <c r="L52" s="141">
        <f t="shared" si="16"/>
        <v>3.7608970110446512E-2</v>
      </c>
    </row>
    <row r="53" spans="2:12" hidden="1" x14ac:dyDescent="0.3">
      <c r="B53" s="25">
        <v>2131</v>
      </c>
      <c r="C53" s="25" t="s">
        <v>77</v>
      </c>
      <c r="D53" s="41"/>
      <c r="E53" s="41"/>
      <c r="F53" s="41"/>
      <c r="G53" s="41"/>
      <c r="H53" s="41"/>
      <c r="I53" s="41"/>
      <c r="J53" s="41"/>
      <c r="K53" s="41"/>
      <c r="L53" s="141" t="e">
        <f t="shared" si="16"/>
        <v>#DIV/0!</v>
      </c>
    </row>
    <row r="54" spans="2:12" x14ac:dyDescent="0.3">
      <c r="B54" s="25">
        <v>2121</v>
      </c>
      <c r="C54" s="25" t="s">
        <v>233</v>
      </c>
      <c r="D54" s="41">
        <v>5600000</v>
      </c>
      <c r="E54" s="41"/>
      <c r="F54" s="41"/>
      <c r="G54" s="41">
        <v>5600000</v>
      </c>
      <c r="H54" s="41"/>
      <c r="I54" s="41"/>
      <c r="J54" s="41"/>
      <c r="K54" s="41"/>
      <c r="L54" s="141"/>
    </row>
    <row r="55" spans="2:12" x14ac:dyDescent="0.3">
      <c r="B55" s="25">
        <v>2131</v>
      </c>
      <c r="C55" s="25" t="s">
        <v>234</v>
      </c>
      <c r="D55" s="41">
        <v>5805000</v>
      </c>
      <c r="E55" s="41"/>
      <c r="F55" s="41"/>
      <c r="G55" s="41">
        <v>5805000</v>
      </c>
      <c r="H55" s="41"/>
      <c r="I55" s="41"/>
      <c r="J55" s="41"/>
      <c r="K55" s="41"/>
      <c r="L55" s="141"/>
    </row>
    <row r="56" spans="2:12" x14ac:dyDescent="0.3">
      <c r="B56" s="25">
        <v>2132</v>
      </c>
      <c r="C56" s="25" t="s">
        <v>164</v>
      </c>
      <c r="D56" s="41">
        <v>3000000</v>
      </c>
      <c r="E56" s="41"/>
      <c r="F56" s="41"/>
      <c r="G56" s="41">
        <v>3000000</v>
      </c>
      <c r="H56" s="41"/>
      <c r="I56" s="41"/>
      <c r="J56" s="41"/>
      <c r="K56" s="41"/>
      <c r="L56" s="141">
        <f t="shared" si="16"/>
        <v>0</v>
      </c>
    </row>
    <row r="57" spans="2:12" hidden="1" x14ac:dyDescent="0.3">
      <c r="B57" s="25">
        <v>2138</v>
      </c>
      <c r="C57" s="25" t="s">
        <v>154</v>
      </c>
      <c r="D57" s="41" t="s">
        <v>166</v>
      </c>
      <c r="E57" s="41"/>
      <c r="F57" s="41"/>
      <c r="G57" s="41" t="s">
        <v>142</v>
      </c>
      <c r="H57" s="41"/>
      <c r="I57" s="41"/>
      <c r="J57" s="41"/>
      <c r="K57" s="41"/>
      <c r="L57" s="141" t="e">
        <f t="shared" si="16"/>
        <v>#VALUE!</v>
      </c>
    </row>
    <row r="58" spans="2:12" x14ac:dyDescent="0.3">
      <c r="B58" s="25">
        <v>2138</v>
      </c>
      <c r="C58" s="25" t="s">
        <v>154</v>
      </c>
      <c r="D58" s="41">
        <v>6368842</v>
      </c>
      <c r="E58" s="41"/>
      <c r="F58" s="41"/>
      <c r="G58" s="41">
        <v>6368842</v>
      </c>
      <c r="H58" s="41"/>
      <c r="I58" s="41"/>
      <c r="J58" s="41"/>
      <c r="K58" s="41"/>
      <c r="L58" s="141"/>
    </row>
    <row r="59" spans="2:12" x14ac:dyDescent="0.3">
      <c r="B59" s="25">
        <v>2141</v>
      </c>
      <c r="C59" s="25" t="s">
        <v>165</v>
      </c>
      <c r="D59" s="41"/>
      <c r="E59" s="41"/>
      <c r="F59" s="41"/>
      <c r="G59" s="41"/>
      <c r="H59" s="41"/>
      <c r="I59" s="41"/>
      <c r="J59" s="41"/>
      <c r="K59" s="41"/>
      <c r="L59" s="141">
        <v>0</v>
      </c>
    </row>
    <row r="60" spans="2:12" hidden="1" x14ac:dyDescent="0.3">
      <c r="B60" s="25">
        <v>2161</v>
      </c>
      <c r="C60" s="25" t="s">
        <v>155</v>
      </c>
      <c r="D60" s="41"/>
      <c r="E60" s="41"/>
      <c r="F60" s="41" t="s">
        <v>142</v>
      </c>
      <c r="G60" s="41" t="s">
        <v>142</v>
      </c>
      <c r="H60" s="41"/>
      <c r="I60" s="41"/>
      <c r="J60" s="41"/>
      <c r="K60" s="41"/>
      <c r="L60" s="141" t="e">
        <f t="shared" si="16"/>
        <v>#VALUE!</v>
      </c>
    </row>
    <row r="61" spans="2:12" hidden="1" x14ac:dyDescent="0.3">
      <c r="B61" s="25">
        <v>2163</v>
      </c>
      <c r="C61" s="25" t="s">
        <v>78</v>
      </c>
      <c r="D61" s="41" t="s">
        <v>142</v>
      </c>
      <c r="E61" s="41"/>
      <c r="F61" s="41" t="s">
        <v>142</v>
      </c>
      <c r="G61" s="41" t="s">
        <v>142</v>
      </c>
      <c r="H61" s="41"/>
      <c r="I61" s="41"/>
      <c r="J61" s="41"/>
      <c r="K61" s="41"/>
      <c r="L61" s="141" t="e">
        <f t="shared" si="16"/>
        <v>#VALUE!</v>
      </c>
    </row>
    <row r="62" spans="2:12" hidden="1" x14ac:dyDescent="0.3">
      <c r="B62" s="25">
        <v>2164</v>
      </c>
      <c r="C62" s="25" t="s">
        <v>156</v>
      </c>
      <c r="D62" s="41"/>
      <c r="E62" s="41"/>
      <c r="F62" s="41" t="s">
        <v>166</v>
      </c>
      <c r="G62" s="41" t="s">
        <v>142</v>
      </c>
      <c r="H62" s="41"/>
      <c r="I62" s="41"/>
      <c r="J62" s="41"/>
      <c r="K62" s="41"/>
      <c r="L62" s="141" t="e">
        <f t="shared" si="16"/>
        <v>#VALUE!</v>
      </c>
    </row>
    <row r="63" spans="2:12" hidden="1" x14ac:dyDescent="0.3">
      <c r="B63" s="25">
        <v>2165</v>
      </c>
      <c r="C63" s="25" t="s">
        <v>157</v>
      </c>
      <c r="D63" s="41" t="s">
        <v>142</v>
      </c>
      <c r="E63" s="41"/>
      <c r="F63" s="41"/>
      <c r="G63" s="41" t="s">
        <v>142</v>
      </c>
      <c r="H63" s="41"/>
      <c r="I63" s="41"/>
      <c r="J63" s="41"/>
      <c r="K63" s="41"/>
      <c r="L63" s="141" t="e">
        <f t="shared" si="16"/>
        <v>#VALUE!</v>
      </c>
    </row>
    <row r="64" spans="2:12" x14ac:dyDescent="0.3">
      <c r="B64" s="25">
        <v>2151</v>
      </c>
      <c r="C64" s="25" t="s">
        <v>235</v>
      </c>
      <c r="D64" s="41">
        <v>13600505</v>
      </c>
      <c r="E64" s="41"/>
      <c r="F64" s="41"/>
      <c r="G64" s="41">
        <v>13600000</v>
      </c>
      <c r="H64" s="41">
        <v>1500000</v>
      </c>
      <c r="I64" s="41">
        <v>1500000</v>
      </c>
      <c r="J64" s="41">
        <v>1500000</v>
      </c>
      <c r="K64" s="41"/>
      <c r="L64" s="141"/>
    </row>
    <row r="65" spans="2:12" x14ac:dyDescent="0.3">
      <c r="B65" s="25">
        <v>2156</v>
      </c>
      <c r="C65" s="25" t="s">
        <v>236</v>
      </c>
      <c r="D65" s="41">
        <v>1180260</v>
      </c>
      <c r="E65" s="41"/>
      <c r="F65" s="41"/>
      <c r="G65" s="41">
        <v>1180260</v>
      </c>
      <c r="H65" s="41"/>
      <c r="I65" s="41"/>
      <c r="J65" s="41"/>
      <c r="K65" s="41"/>
      <c r="L65" s="141"/>
    </row>
    <row r="66" spans="2:12" x14ac:dyDescent="0.3">
      <c r="B66" s="25">
        <v>2163</v>
      </c>
      <c r="C66" s="25" t="s">
        <v>78</v>
      </c>
      <c r="D66" s="41">
        <v>800000</v>
      </c>
      <c r="E66" s="41"/>
      <c r="F66" s="41"/>
      <c r="G66" s="41">
        <v>800000</v>
      </c>
      <c r="H66" s="41"/>
      <c r="I66" s="41"/>
      <c r="J66" s="41"/>
      <c r="K66" s="41"/>
      <c r="L66" s="141">
        <f t="shared" si="16"/>
        <v>0</v>
      </c>
    </row>
    <row r="67" spans="2:12" x14ac:dyDescent="0.3">
      <c r="B67" s="25">
        <v>2164</v>
      </c>
      <c r="C67" s="25" t="s">
        <v>156</v>
      </c>
      <c r="D67" s="41">
        <v>530000</v>
      </c>
      <c r="E67" s="41"/>
      <c r="F67" s="41"/>
      <c r="G67" s="41">
        <v>530000</v>
      </c>
      <c r="H67" s="41"/>
      <c r="I67" s="41"/>
      <c r="J67" s="41"/>
      <c r="K67" s="41"/>
      <c r="L67" s="141">
        <f t="shared" si="16"/>
        <v>0</v>
      </c>
    </row>
    <row r="68" spans="2:12" x14ac:dyDescent="0.3">
      <c r="B68" s="25">
        <v>2167</v>
      </c>
      <c r="C68" s="25" t="s">
        <v>237</v>
      </c>
      <c r="D68" s="41">
        <v>3000000</v>
      </c>
      <c r="E68" s="41"/>
      <c r="F68" s="41"/>
      <c r="G68" s="41">
        <v>3000000</v>
      </c>
      <c r="H68" s="41"/>
      <c r="I68" s="41"/>
      <c r="J68" s="41"/>
      <c r="K68" s="41"/>
      <c r="L68" s="141"/>
    </row>
    <row r="69" spans="2:12" s="1" customFormat="1" x14ac:dyDescent="0.3">
      <c r="B69" s="28"/>
      <c r="C69" s="28" t="s">
        <v>79</v>
      </c>
      <c r="D69" s="43">
        <f t="shared" ref="D69:K69" si="19">D47+D49+D52</f>
        <v>39884607</v>
      </c>
      <c r="E69" s="43">
        <f t="shared" si="19"/>
        <v>0</v>
      </c>
      <c r="F69" s="43">
        <f t="shared" si="19"/>
        <v>0</v>
      </c>
      <c r="G69" s="43">
        <f t="shared" si="19"/>
        <v>39884102</v>
      </c>
      <c r="H69" s="43">
        <f t="shared" si="19"/>
        <v>1500000</v>
      </c>
      <c r="I69" s="43">
        <f t="shared" si="19"/>
        <v>1500000</v>
      </c>
      <c r="J69" s="43">
        <f t="shared" si="19"/>
        <v>1500000</v>
      </c>
      <c r="K69" s="43">
        <f t="shared" si="19"/>
        <v>0</v>
      </c>
      <c r="L69" s="141">
        <f t="shared" si="16"/>
        <v>3.7608970110446512E-2</v>
      </c>
    </row>
    <row r="70" spans="2:12" s="2" customFormat="1" x14ac:dyDescent="0.3">
      <c r="B70" s="24">
        <v>20</v>
      </c>
      <c r="C70" s="24" t="s">
        <v>74</v>
      </c>
      <c r="D70" s="40"/>
      <c r="E70" s="40"/>
      <c r="F70" s="40"/>
      <c r="G70" s="40"/>
      <c r="H70" s="40"/>
      <c r="I70" s="40"/>
      <c r="J70" s="40"/>
      <c r="K70" s="40"/>
      <c r="L70" s="49" t="s">
        <v>142</v>
      </c>
    </row>
    <row r="71" spans="2:12" s="2" customFormat="1" x14ac:dyDescent="0.3">
      <c r="B71" s="24">
        <v>21</v>
      </c>
      <c r="C71" s="24" t="s">
        <v>76</v>
      </c>
      <c r="D71" s="40"/>
      <c r="E71" s="40"/>
      <c r="F71" s="40"/>
      <c r="G71" s="40"/>
      <c r="H71" s="40"/>
      <c r="I71" s="40"/>
      <c r="J71" s="40"/>
      <c r="K71" s="40"/>
      <c r="L71" s="49" t="s">
        <v>142</v>
      </c>
    </row>
    <row r="72" spans="2:12" s="1" customFormat="1" x14ac:dyDescent="0.3">
      <c r="B72" s="28"/>
      <c r="C72" s="28" t="s">
        <v>80</v>
      </c>
      <c r="D72" s="43">
        <f>SUM(D70:D71)</f>
        <v>0</v>
      </c>
      <c r="E72" s="43">
        <f t="shared" ref="E72:K72" si="20">SUM(E70:E71)</f>
        <v>0</v>
      </c>
      <c r="F72" s="43">
        <f t="shared" si="20"/>
        <v>0</v>
      </c>
      <c r="G72" s="43">
        <f t="shared" si="20"/>
        <v>0</v>
      </c>
      <c r="H72" s="43">
        <f t="shared" si="20"/>
        <v>0</v>
      </c>
      <c r="I72" s="43">
        <f t="shared" si="20"/>
        <v>0</v>
      </c>
      <c r="J72" s="43">
        <f t="shared" si="20"/>
        <v>0</v>
      </c>
      <c r="K72" s="43">
        <f t="shared" si="20"/>
        <v>0</v>
      </c>
      <c r="L72" s="49" t="s">
        <v>142</v>
      </c>
    </row>
    <row r="73" spans="2:12" s="1" customFormat="1" ht="15" thickBot="1" x14ac:dyDescent="0.35">
      <c r="B73" s="29"/>
      <c r="C73" s="29" t="s">
        <v>81</v>
      </c>
      <c r="D73" s="44">
        <f>D69+D72</f>
        <v>39884607</v>
      </c>
      <c r="E73" s="44">
        <f t="shared" ref="E73:J73" si="21">E69+E72</f>
        <v>0</v>
      </c>
      <c r="F73" s="44">
        <f t="shared" si="21"/>
        <v>0</v>
      </c>
      <c r="G73" s="44">
        <f t="shared" si="21"/>
        <v>39884102</v>
      </c>
      <c r="H73" s="44">
        <f t="shared" si="21"/>
        <v>1500000</v>
      </c>
      <c r="I73" s="44">
        <f t="shared" si="21"/>
        <v>1500000</v>
      </c>
      <c r="J73" s="44">
        <f t="shared" si="21"/>
        <v>1500000</v>
      </c>
      <c r="K73" s="44">
        <f t="shared" ref="K73" si="22">K69+K72</f>
        <v>0</v>
      </c>
      <c r="L73" s="142">
        <f t="shared" si="16"/>
        <v>3.7608970110446512E-2</v>
      </c>
    </row>
    <row r="74" spans="2:12" x14ac:dyDescent="0.3">
      <c r="D74" s="8"/>
      <c r="E74" s="8"/>
      <c r="F74" s="8"/>
      <c r="G74" s="8"/>
      <c r="H74" s="8"/>
      <c r="I74" s="8"/>
      <c r="J74" s="8"/>
      <c r="K74" s="8"/>
      <c r="L74" s="8"/>
    </row>
    <row r="75" spans="2:12" x14ac:dyDescent="0.3">
      <c r="D75" s="8"/>
      <c r="E75" s="8"/>
      <c r="F75" s="8"/>
      <c r="G75" s="8"/>
      <c r="H75" s="8"/>
      <c r="I75" s="8"/>
      <c r="J75" s="8"/>
      <c r="K75" s="8"/>
      <c r="L75" s="8"/>
    </row>
    <row r="76" spans="2:12" x14ac:dyDescent="0.3">
      <c r="D76" s="8"/>
      <c r="E76" s="8"/>
      <c r="F76" s="8"/>
      <c r="G76" s="8"/>
      <c r="H76" s="8"/>
      <c r="I76" s="8"/>
      <c r="J76" s="8"/>
      <c r="K76" s="8"/>
      <c r="L76" s="8"/>
    </row>
    <row r="77" spans="2:12" x14ac:dyDescent="0.3">
      <c r="D77" s="8"/>
      <c r="E77" s="8"/>
      <c r="F77" s="8"/>
      <c r="G77" s="8"/>
      <c r="H77" s="8"/>
      <c r="I77" s="8"/>
      <c r="J77" s="8"/>
      <c r="K77" s="8"/>
      <c r="L77" s="8"/>
    </row>
    <row r="78" spans="2:12" x14ac:dyDescent="0.3">
      <c r="D78" s="8"/>
      <c r="E78" s="8"/>
      <c r="F78" s="8"/>
      <c r="G78" s="8"/>
      <c r="H78" s="8"/>
      <c r="I78" s="8"/>
      <c r="J78" s="8"/>
      <c r="K78" s="8"/>
      <c r="L78" s="8"/>
    </row>
    <row r="79" spans="2:12" x14ac:dyDescent="0.3">
      <c r="D79" s="8"/>
      <c r="E79" s="8"/>
      <c r="F79" s="8"/>
      <c r="G79" s="8"/>
      <c r="H79" s="8"/>
      <c r="I79" s="8"/>
      <c r="J79" s="8"/>
      <c r="K79" s="8"/>
      <c r="L79" s="8"/>
    </row>
    <row r="80" spans="2:12" x14ac:dyDescent="0.3">
      <c r="D80" s="8"/>
      <c r="E80" s="8"/>
      <c r="F80" s="8"/>
      <c r="G80" s="8"/>
      <c r="H80" s="8"/>
      <c r="I80" s="8"/>
      <c r="J80" s="8"/>
      <c r="K80" s="8"/>
      <c r="L80" s="8"/>
    </row>
    <row r="81" spans="4:12" x14ac:dyDescent="0.3">
      <c r="D81" s="8"/>
      <c r="E81" s="8"/>
      <c r="F81" s="8"/>
      <c r="G81" s="8"/>
      <c r="H81" s="8"/>
      <c r="I81" s="8"/>
      <c r="J81" s="8"/>
      <c r="K81" s="8"/>
      <c r="L81" s="8"/>
    </row>
    <row r="82" spans="4:12" x14ac:dyDescent="0.3">
      <c r="D82" s="8"/>
      <c r="E82" s="8"/>
      <c r="F82" s="8"/>
      <c r="G82" s="8"/>
      <c r="H82" s="8"/>
      <c r="I82" s="8"/>
      <c r="J82" s="8"/>
      <c r="K82" s="8"/>
      <c r="L82" s="8"/>
    </row>
    <row r="83" spans="4:12" x14ac:dyDescent="0.3">
      <c r="D83" s="8"/>
      <c r="E83" s="8"/>
      <c r="F83" s="8"/>
      <c r="G83" s="8"/>
      <c r="H83" s="8"/>
      <c r="I83" s="8"/>
      <c r="J83" s="8"/>
      <c r="K83" s="8"/>
      <c r="L83" s="8"/>
    </row>
    <row r="84" spans="4:12" x14ac:dyDescent="0.3">
      <c r="D84" s="8"/>
      <c r="E84" s="8"/>
      <c r="F84" s="8"/>
      <c r="G84" s="8"/>
      <c r="H84" s="8"/>
      <c r="I84" s="8"/>
      <c r="J84" s="8"/>
      <c r="K84" s="8"/>
      <c r="L84" s="8"/>
    </row>
    <row r="85" spans="4:12" x14ac:dyDescent="0.3">
      <c r="D85" s="8"/>
      <c r="E85" s="8"/>
      <c r="F85" s="8"/>
      <c r="G85" s="8"/>
      <c r="H85" s="8"/>
      <c r="I85" s="8"/>
      <c r="J85" s="8"/>
      <c r="K85" s="8"/>
      <c r="L85" s="8"/>
    </row>
    <row r="86" spans="4:12" x14ac:dyDescent="0.3">
      <c r="D86" s="8"/>
      <c r="E86" s="8"/>
      <c r="F86" s="8"/>
      <c r="G86" s="8"/>
      <c r="H86" s="8"/>
      <c r="I86" s="8"/>
      <c r="J86" s="8"/>
      <c r="K86" s="8"/>
      <c r="L86" s="8"/>
    </row>
    <row r="87" spans="4:12" x14ac:dyDescent="0.3">
      <c r="D87" s="8"/>
      <c r="E87" s="8"/>
      <c r="F87" s="8"/>
      <c r="G87" s="8"/>
      <c r="H87" s="8"/>
      <c r="I87" s="8"/>
      <c r="J87" s="8"/>
      <c r="K87" s="8"/>
      <c r="L87" s="8"/>
    </row>
    <row r="88" spans="4:12" x14ac:dyDescent="0.3">
      <c r="D88" s="8"/>
      <c r="E88" s="8"/>
      <c r="F88" s="8"/>
      <c r="G88" s="8"/>
      <c r="H88" s="8"/>
      <c r="I88" s="8"/>
      <c r="J88" s="8"/>
      <c r="K88" s="8"/>
      <c r="L88" s="8"/>
    </row>
    <row r="89" spans="4:12" x14ac:dyDescent="0.3">
      <c r="D89" s="8"/>
      <c r="E89" s="8"/>
      <c r="F89" s="8"/>
      <c r="G89" s="8"/>
      <c r="H89" s="8"/>
      <c r="I89" s="8"/>
      <c r="J89" s="8"/>
      <c r="K89" s="8"/>
      <c r="L89" s="8"/>
    </row>
    <row r="90" spans="4:12" x14ac:dyDescent="0.3">
      <c r="D90" s="8"/>
      <c r="E90" s="8"/>
      <c r="F90" s="8"/>
      <c r="G90" s="8"/>
      <c r="H90" s="8"/>
      <c r="I90" s="8"/>
      <c r="J90" s="8"/>
      <c r="K90" s="8"/>
      <c r="L90" s="8"/>
    </row>
    <row r="91" spans="4:12" x14ac:dyDescent="0.3">
      <c r="D91" s="8"/>
      <c r="E91" s="8"/>
      <c r="F91" s="8"/>
      <c r="G91" s="8"/>
      <c r="H91" s="8"/>
      <c r="I91" s="8"/>
      <c r="J91" s="8"/>
      <c r="K91" s="8"/>
      <c r="L91" s="8"/>
    </row>
    <row r="92" spans="4:12" x14ac:dyDescent="0.3">
      <c r="D92" s="8"/>
      <c r="E92" s="8"/>
      <c r="F92" s="8"/>
      <c r="G92" s="8"/>
      <c r="H92" s="8"/>
      <c r="I92" s="8"/>
      <c r="J92" s="8"/>
      <c r="K92" s="8"/>
      <c r="L92" s="8"/>
    </row>
    <row r="93" spans="4:12" x14ac:dyDescent="0.3">
      <c r="D93" s="8"/>
      <c r="E93" s="8"/>
      <c r="F93" s="8"/>
      <c r="G93" s="8"/>
      <c r="H93" s="8"/>
      <c r="I93" s="8"/>
      <c r="J93" s="8"/>
      <c r="K93" s="8"/>
      <c r="L93" s="8"/>
    </row>
    <row r="94" spans="4:12" x14ac:dyDescent="0.3">
      <c r="D94" s="8"/>
      <c r="E94" s="8"/>
      <c r="F94" s="8"/>
      <c r="G94" s="8"/>
      <c r="H94" s="8"/>
      <c r="I94" s="8"/>
      <c r="J94" s="8"/>
      <c r="K94" s="8"/>
      <c r="L94" s="8"/>
    </row>
    <row r="95" spans="4:12" x14ac:dyDescent="0.3">
      <c r="D95" s="8"/>
      <c r="E95" s="8"/>
      <c r="F95" s="8"/>
      <c r="G95" s="8"/>
      <c r="H95" s="8"/>
      <c r="I95" s="8"/>
      <c r="J95" s="8"/>
      <c r="K95" s="8"/>
      <c r="L95" s="8"/>
    </row>
    <row r="96" spans="4:12" x14ac:dyDescent="0.3">
      <c r="D96" s="8"/>
      <c r="E96" s="8"/>
      <c r="F96" s="8"/>
      <c r="G96" s="8"/>
      <c r="H96" s="8"/>
      <c r="I96" s="8"/>
      <c r="J96" s="8"/>
      <c r="K96" s="8"/>
      <c r="L96" s="8"/>
    </row>
    <row r="97" spans="4:12" x14ac:dyDescent="0.3">
      <c r="D97" s="8"/>
      <c r="E97" s="8"/>
      <c r="F97" s="8"/>
      <c r="G97" s="8"/>
      <c r="H97" s="8"/>
      <c r="I97" s="8"/>
      <c r="J97" s="8"/>
      <c r="K97" s="8"/>
      <c r="L97" s="8"/>
    </row>
    <row r="98" spans="4:12" x14ac:dyDescent="0.3">
      <c r="D98" s="8"/>
      <c r="E98" s="8"/>
      <c r="F98" s="8"/>
      <c r="G98" s="8"/>
      <c r="H98" s="8"/>
      <c r="I98" s="8"/>
      <c r="J98" s="8"/>
      <c r="K98" s="8"/>
      <c r="L98" s="8"/>
    </row>
    <row r="99" spans="4:12" x14ac:dyDescent="0.3">
      <c r="D99" s="8"/>
      <c r="E99" s="8"/>
      <c r="F99" s="8"/>
      <c r="G99" s="8"/>
      <c r="H99" s="8"/>
      <c r="I99" s="8"/>
      <c r="J99" s="8"/>
      <c r="K99" s="8"/>
      <c r="L99" s="8"/>
    </row>
    <row r="100" spans="4:12" x14ac:dyDescent="0.3">
      <c r="D100" s="8"/>
      <c r="E100" s="8"/>
      <c r="F100" s="8"/>
      <c r="G100" s="8"/>
      <c r="H100" s="8"/>
      <c r="I100" s="8"/>
      <c r="J100" s="8"/>
      <c r="K100" s="8"/>
      <c r="L100" s="8"/>
    </row>
    <row r="101" spans="4:12" x14ac:dyDescent="0.3">
      <c r="D101" s="8"/>
      <c r="E101" s="8"/>
      <c r="F101" s="8"/>
      <c r="G101" s="8"/>
      <c r="H101" s="8"/>
      <c r="I101" s="8"/>
      <c r="J101" s="8"/>
      <c r="K101" s="8"/>
      <c r="L101" s="8"/>
    </row>
    <row r="102" spans="4:12" x14ac:dyDescent="0.3">
      <c r="D102" s="8"/>
      <c r="E102" s="8"/>
      <c r="F102" s="8"/>
      <c r="G102" s="8"/>
      <c r="H102" s="8"/>
      <c r="I102" s="8"/>
      <c r="J102" s="8"/>
      <c r="K102" s="8"/>
      <c r="L102" s="8"/>
    </row>
    <row r="103" spans="4:12" x14ac:dyDescent="0.3">
      <c r="D103" s="8"/>
      <c r="E103" s="8"/>
      <c r="F103" s="8"/>
      <c r="G103" s="8"/>
      <c r="H103" s="8"/>
      <c r="I103" s="8"/>
      <c r="J103" s="8"/>
      <c r="K103" s="8"/>
      <c r="L103" s="8"/>
    </row>
    <row r="104" spans="4:12" x14ac:dyDescent="0.3">
      <c r="D104" s="8"/>
      <c r="E104" s="8"/>
      <c r="F104" s="8"/>
      <c r="G104" s="8"/>
      <c r="H104" s="8"/>
      <c r="I104" s="8"/>
      <c r="J104" s="8"/>
      <c r="K104" s="8"/>
      <c r="L104" s="8"/>
    </row>
    <row r="105" spans="4:12" x14ac:dyDescent="0.3">
      <c r="D105" s="8"/>
      <c r="E105" s="8"/>
      <c r="F105" s="8"/>
      <c r="G105" s="8"/>
      <c r="H105" s="8"/>
      <c r="I105" s="8"/>
      <c r="J105" s="8"/>
      <c r="K105" s="8"/>
      <c r="L105" s="8"/>
    </row>
    <row r="106" spans="4:12" x14ac:dyDescent="0.3">
      <c r="D106" s="8"/>
      <c r="E106" s="8"/>
      <c r="F106" s="8"/>
      <c r="G106" s="8"/>
      <c r="H106" s="8"/>
      <c r="I106" s="8"/>
      <c r="J106" s="8"/>
      <c r="K106" s="8"/>
      <c r="L106" s="8"/>
    </row>
    <row r="107" spans="4:12" x14ac:dyDescent="0.3">
      <c r="D107" s="8"/>
      <c r="E107" s="8"/>
      <c r="F107" s="8"/>
      <c r="G107" s="8"/>
      <c r="H107" s="8"/>
      <c r="I107" s="8"/>
      <c r="J107" s="8"/>
      <c r="K107" s="8"/>
      <c r="L107" s="8"/>
    </row>
    <row r="108" spans="4:12" x14ac:dyDescent="0.3">
      <c r="D108" s="8"/>
      <c r="E108" s="8"/>
      <c r="F108" s="8"/>
      <c r="G108" s="8"/>
      <c r="H108" s="8"/>
      <c r="I108" s="8"/>
      <c r="J108" s="8"/>
      <c r="K108" s="8"/>
      <c r="L108" s="8"/>
    </row>
    <row r="109" spans="4:12" x14ac:dyDescent="0.3">
      <c r="D109" s="8"/>
      <c r="E109" s="8"/>
      <c r="F109" s="8"/>
      <c r="G109" s="8"/>
      <c r="H109" s="8"/>
      <c r="I109" s="8"/>
      <c r="J109" s="8"/>
      <c r="K109" s="8"/>
      <c r="L109" s="8"/>
    </row>
    <row r="110" spans="4:12" x14ac:dyDescent="0.3">
      <c r="D110" s="8"/>
      <c r="E110" s="8"/>
      <c r="F110" s="8"/>
      <c r="G110" s="8"/>
      <c r="H110" s="8"/>
      <c r="I110" s="8"/>
      <c r="J110" s="8"/>
      <c r="K110" s="8"/>
      <c r="L110" s="8"/>
    </row>
    <row r="111" spans="4:12" x14ac:dyDescent="0.3">
      <c r="D111" s="8"/>
      <c r="E111" s="8"/>
      <c r="F111" s="8"/>
      <c r="G111" s="8"/>
      <c r="H111" s="8"/>
      <c r="I111" s="8"/>
      <c r="J111" s="8"/>
      <c r="K111" s="8"/>
      <c r="L111" s="8"/>
    </row>
    <row r="112" spans="4:12" x14ac:dyDescent="0.3">
      <c r="D112" s="8"/>
      <c r="E112" s="8"/>
      <c r="F112" s="8"/>
      <c r="G112" s="8"/>
      <c r="H112" s="8"/>
      <c r="I112" s="8"/>
      <c r="J112" s="8"/>
      <c r="K112" s="8"/>
      <c r="L112" s="8"/>
    </row>
    <row r="113" spans="4:12" x14ac:dyDescent="0.3">
      <c r="D113" s="8"/>
      <c r="E113" s="8"/>
      <c r="F113" s="8"/>
      <c r="G113" s="8"/>
      <c r="H113" s="8"/>
      <c r="I113" s="8"/>
      <c r="J113" s="8"/>
      <c r="K113" s="8"/>
      <c r="L113" s="8"/>
    </row>
    <row r="114" spans="4:12" x14ac:dyDescent="0.3">
      <c r="D114" s="8"/>
      <c r="E114" s="8"/>
      <c r="F114" s="8"/>
      <c r="G114" s="8"/>
      <c r="H114" s="8"/>
      <c r="I114" s="8"/>
      <c r="J114" s="8"/>
      <c r="K114" s="8"/>
      <c r="L114" s="8"/>
    </row>
  </sheetData>
  <pageMargins left="0.19685039370078741" right="0.11811023622047245" top="0.74803149606299213" bottom="0.74803149606299213" header="0.31496062992125984" footer="0.31496062992125984"/>
  <pageSetup paperSize="9" scale="65" orientation="landscape" r:id="rId1"/>
  <ignoredErrors>
    <ignoredError sqref="K49"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L105"/>
  <sheetViews>
    <sheetView zoomScale="80" zoomScaleNormal="80" zoomScaleSheetLayoutView="80" workbookViewId="0">
      <selection activeCell="E16" sqref="E16"/>
    </sheetView>
  </sheetViews>
  <sheetFormatPr baseColWidth="10" defaultColWidth="10.77734375" defaultRowHeight="14.4" x14ac:dyDescent="0.3"/>
  <cols>
    <col min="3" max="3" width="50.44140625" customWidth="1"/>
    <col min="4" max="4" width="18.77734375" customWidth="1"/>
    <col min="5" max="5" width="14.109375" customWidth="1"/>
    <col min="6" max="6" width="13" customWidth="1"/>
    <col min="7" max="7" width="13.88671875" customWidth="1"/>
    <col min="8" max="8" width="14.5546875" customWidth="1"/>
    <col min="9" max="9" width="17.33203125" customWidth="1"/>
    <col min="10" max="10" width="13.44140625" customWidth="1"/>
    <col min="11" max="12" width="14" customWidth="1"/>
  </cols>
  <sheetData>
    <row r="1" spans="2:12" s="1" customFormat="1" x14ac:dyDescent="0.3">
      <c r="E1" s="1" t="s">
        <v>48</v>
      </c>
    </row>
    <row r="2" spans="2:12" ht="15.6" x14ac:dyDescent="0.3">
      <c r="B2" s="133" t="s">
        <v>248</v>
      </c>
      <c r="D2" t="s">
        <v>169</v>
      </c>
      <c r="E2" t="s">
        <v>170</v>
      </c>
    </row>
    <row r="3" spans="2:12" s="1" customFormat="1" ht="15" thickBot="1" x14ac:dyDescent="0.35">
      <c r="E3" s="1" t="s">
        <v>26</v>
      </c>
    </row>
    <row r="4" spans="2:12" ht="43.8" thickBot="1" x14ac:dyDescent="0.35">
      <c r="B4" s="23" t="s">
        <v>0</v>
      </c>
      <c r="C4" s="23" t="s">
        <v>1</v>
      </c>
      <c r="D4" s="23" t="s">
        <v>2</v>
      </c>
      <c r="E4" s="23" t="s">
        <v>3</v>
      </c>
      <c r="F4" s="45" t="s">
        <v>4</v>
      </c>
      <c r="G4" s="48" t="s">
        <v>24</v>
      </c>
      <c r="H4" s="23" t="s">
        <v>42</v>
      </c>
      <c r="I4" s="48" t="s">
        <v>46</v>
      </c>
      <c r="J4" s="48" t="s">
        <v>44</v>
      </c>
      <c r="K4" s="48" t="s">
        <v>45</v>
      </c>
      <c r="L4" s="48" t="s">
        <v>47</v>
      </c>
    </row>
    <row r="5" spans="2:12" s="2" customFormat="1" x14ac:dyDescent="0.3">
      <c r="B5" s="24">
        <v>60</v>
      </c>
      <c r="C5" s="24" t="s">
        <v>51</v>
      </c>
      <c r="D5" s="40">
        <f>SUM(D6:D13)</f>
        <v>5664000</v>
      </c>
      <c r="E5" s="40">
        <f t="shared" ref="E5:K5" si="0">SUM(E6:E13)</f>
        <v>0</v>
      </c>
      <c r="F5" s="40">
        <f t="shared" si="0"/>
        <v>0</v>
      </c>
      <c r="G5" s="40">
        <f t="shared" si="0"/>
        <v>5664000</v>
      </c>
      <c r="H5" s="40">
        <f t="shared" si="0"/>
        <v>3600000</v>
      </c>
      <c r="I5" s="40">
        <f t="shared" si="0"/>
        <v>3600000</v>
      </c>
      <c r="J5" s="40">
        <f t="shared" si="0"/>
        <v>3600000</v>
      </c>
      <c r="K5" s="40">
        <f t="shared" si="0"/>
        <v>0</v>
      </c>
      <c r="L5" s="140">
        <v>0.73950000000000005</v>
      </c>
    </row>
    <row r="6" spans="2:12" x14ac:dyDescent="0.3">
      <c r="B6" s="25">
        <v>6011</v>
      </c>
      <c r="C6" s="25" t="s">
        <v>52</v>
      </c>
      <c r="D6" s="41">
        <v>4800000</v>
      </c>
      <c r="E6" s="41"/>
      <c r="F6" s="41"/>
      <c r="G6" s="41">
        <v>4800000</v>
      </c>
      <c r="H6" s="41">
        <v>3600000</v>
      </c>
      <c r="I6" s="41">
        <v>3600000</v>
      </c>
      <c r="J6" s="41">
        <v>3600000</v>
      </c>
      <c r="K6" s="41">
        <f>I6-J6</f>
        <v>0</v>
      </c>
      <c r="L6" s="140">
        <v>0.81810000000000005</v>
      </c>
    </row>
    <row r="7" spans="2:12" hidden="1" x14ac:dyDescent="0.3">
      <c r="B7" s="25">
        <v>6012</v>
      </c>
      <c r="C7" s="25" t="s">
        <v>53</v>
      </c>
      <c r="D7" s="41" t="s">
        <v>142</v>
      </c>
      <c r="E7" s="41"/>
      <c r="F7" s="41"/>
      <c r="G7" s="41" t="s">
        <v>142</v>
      </c>
      <c r="H7" s="41"/>
      <c r="I7" s="41"/>
      <c r="J7" s="41"/>
      <c r="K7" s="41">
        <f t="shared" ref="K7:K13" si="1">I7-J7</f>
        <v>0</v>
      </c>
      <c r="L7" s="140">
        <v>8.0999999999999996E-3</v>
      </c>
    </row>
    <row r="8" spans="2:12" hidden="1" x14ac:dyDescent="0.3">
      <c r="B8" s="25">
        <v>6021</v>
      </c>
      <c r="C8" s="25" t="s">
        <v>143</v>
      </c>
      <c r="D8" s="41" t="s">
        <v>142</v>
      </c>
      <c r="E8" s="41"/>
      <c r="F8" s="41" t="s">
        <v>142</v>
      </c>
      <c r="G8" s="41" t="s">
        <v>142</v>
      </c>
      <c r="H8" s="41"/>
      <c r="I8" s="41"/>
      <c r="J8" s="41"/>
      <c r="K8" s="41"/>
      <c r="L8" s="140">
        <v>8.0999999999999996E-3</v>
      </c>
    </row>
    <row r="9" spans="2:12" hidden="1" x14ac:dyDescent="0.3">
      <c r="B9" s="25">
        <v>6022</v>
      </c>
      <c r="C9" s="25" t="s">
        <v>144</v>
      </c>
      <c r="D9" s="41" t="s">
        <v>142</v>
      </c>
      <c r="E9" s="41"/>
      <c r="F9" s="41" t="s">
        <v>142</v>
      </c>
      <c r="G9" s="41" t="s">
        <v>142</v>
      </c>
      <c r="H9" s="41"/>
      <c r="I9" s="41"/>
      <c r="J9" s="41"/>
      <c r="K9" s="41"/>
      <c r="L9" s="140">
        <v>8.0999999999999996E-3</v>
      </c>
    </row>
    <row r="10" spans="2:12" hidden="1" x14ac:dyDescent="0.3">
      <c r="B10" s="25">
        <v>6031</v>
      </c>
      <c r="C10" s="25" t="s">
        <v>54</v>
      </c>
      <c r="D10" s="41"/>
      <c r="E10" s="41"/>
      <c r="F10" s="41"/>
      <c r="G10" s="41"/>
      <c r="H10" s="41"/>
      <c r="I10" s="41"/>
      <c r="J10" s="41"/>
      <c r="K10" s="41">
        <f t="shared" si="1"/>
        <v>0</v>
      </c>
      <c r="L10" s="140">
        <v>8.0999999999999996E-3</v>
      </c>
    </row>
    <row r="11" spans="2:12" hidden="1" x14ac:dyDescent="0.3">
      <c r="B11" s="25">
        <v>6032</v>
      </c>
      <c r="C11" s="25" t="s">
        <v>55</v>
      </c>
      <c r="D11" s="41" t="s">
        <v>142</v>
      </c>
      <c r="E11" s="41"/>
      <c r="F11" s="41" t="s">
        <v>142</v>
      </c>
      <c r="G11" s="41" t="s">
        <v>142</v>
      </c>
      <c r="H11" s="41"/>
      <c r="I11" s="41"/>
      <c r="J11" s="41"/>
      <c r="K11" s="41">
        <f t="shared" si="1"/>
        <v>0</v>
      </c>
      <c r="L11" s="140">
        <v>8.0999999999999996E-3</v>
      </c>
    </row>
    <row r="12" spans="2:12" x14ac:dyDescent="0.3">
      <c r="B12" s="25">
        <v>6061</v>
      </c>
      <c r="C12" s="25" t="s">
        <v>56</v>
      </c>
      <c r="D12" s="41">
        <v>624000</v>
      </c>
      <c r="E12" s="41"/>
      <c r="F12" s="41" t="s">
        <v>142</v>
      </c>
      <c r="G12" s="41">
        <v>624000</v>
      </c>
      <c r="H12" s="41"/>
      <c r="I12" s="41"/>
      <c r="J12" s="41"/>
      <c r="K12" s="41">
        <f t="shared" si="1"/>
        <v>0</v>
      </c>
      <c r="L12" s="140">
        <v>0</v>
      </c>
    </row>
    <row r="13" spans="2:12" x14ac:dyDescent="0.3">
      <c r="B13" s="25">
        <v>6062</v>
      </c>
      <c r="C13" s="25" t="s">
        <v>57</v>
      </c>
      <c r="D13" s="41">
        <v>240000</v>
      </c>
      <c r="E13" s="41"/>
      <c r="F13" s="41"/>
      <c r="G13" s="41">
        <v>240000</v>
      </c>
      <c r="H13" s="41"/>
      <c r="I13" s="41"/>
      <c r="J13" s="41"/>
      <c r="K13" s="41">
        <f t="shared" si="1"/>
        <v>0</v>
      </c>
      <c r="L13" s="140">
        <v>0</v>
      </c>
    </row>
    <row r="14" spans="2:12" s="2" customFormat="1" x14ac:dyDescent="0.3">
      <c r="B14" s="24">
        <v>61</v>
      </c>
      <c r="C14" s="24" t="s">
        <v>58</v>
      </c>
      <c r="D14" s="40">
        <f>SUM(D15:D21)</f>
        <v>1483000</v>
      </c>
      <c r="E14" s="40">
        <f t="shared" ref="E14:K14" si="2">SUM(E15:E21)</f>
        <v>0</v>
      </c>
      <c r="F14" s="40">
        <f t="shared" si="2"/>
        <v>0</v>
      </c>
      <c r="G14" s="40">
        <f t="shared" si="2"/>
        <v>1483000</v>
      </c>
      <c r="H14" s="40">
        <f t="shared" si="2"/>
        <v>0</v>
      </c>
      <c r="I14" s="40">
        <f t="shared" si="2"/>
        <v>0</v>
      </c>
      <c r="J14" s="40">
        <f t="shared" si="2"/>
        <v>0</v>
      </c>
      <c r="K14" s="40">
        <f t="shared" si="2"/>
        <v>0</v>
      </c>
      <c r="L14" s="140">
        <v>0</v>
      </c>
    </row>
    <row r="15" spans="2:12" x14ac:dyDescent="0.3">
      <c r="B15" s="25">
        <v>6111</v>
      </c>
      <c r="C15" s="25" t="s">
        <v>59</v>
      </c>
      <c r="D15" s="41">
        <v>200000</v>
      </c>
      <c r="E15" s="41"/>
      <c r="F15" s="41" t="s">
        <v>142</v>
      </c>
      <c r="G15" s="41">
        <v>200000</v>
      </c>
      <c r="H15" s="41"/>
      <c r="I15" s="41"/>
      <c r="J15" s="41"/>
      <c r="K15" s="41">
        <f>I15-J15</f>
        <v>0</v>
      </c>
      <c r="L15" s="140">
        <v>0</v>
      </c>
    </row>
    <row r="16" spans="2:12" x14ac:dyDescent="0.3">
      <c r="B16" s="25">
        <v>6112</v>
      </c>
      <c r="C16" s="25" t="s">
        <v>60</v>
      </c>
      <c r="D16" s="41" t="s">
        <v>142</v>
      </c>
      <c r="E16" s="41"/>
      <c r="F16" s="41" t="s">
        <v>142</v>
      </c>
      <c r="G16" s="41" t="s">
        <v>142</v>
      </c>
      <c r="H16" s="41"/>
      <c r="I16" s="41"/>
      <c r="J16" s="41"/>
      <c r="K16" s="41" t="s">
        <v>142</v>
      </c>
      <c r="L16" s="140" t="s">
        <v>142</v>
      </c>
    </row>
    <row r="17" spans="2:12" x14ac:dyDescent="0.3">
      <c r="B17" s="25">
        <v>6113</v>
      </c>
      <c r="C17" s="25" t="s">
        <v>61</v>
      </c>
      <c r="D17" s="41" t="s">
        <v>142</v>
      </c>
      <c r="E17" s="41"/>
      <c r="F17" s="41" t="s">
        <v>142</v>
      </c>
      <c r="G17" s="41" t="s">
        <v>142</v>
      </c>
      <c r="H17" s="41"/>
      <c r="I17" s="41"/>
      <c r="J17" s="41"/>
      <c r="K17" s="41" t="s">
        <v>142</v>
      </c>
      <c r="L17" s="140" t="s">
        <v>142</v>
      </c>
    </row>
    <row r="18" spans="2:12" x14ac:dyDescent="0.3">
      <c r="B18" s="25">
        <v>6114</v>
      </c>
      <c r="C18" s="25" t="s">
        <v>62</v>
      </c>
      <c r="D18" s="41"/>
      <c r="E18" s="41"/>
      <c r="F18" s="41"/>
      <c r="G18" s="41"/>
      <c r="H18" s="41"/>
      <c r="I18" s="41"/>
      <c r="J18" s="41"/>
      <c r="K18" s="41">
        <f t="shared" ref="K18" si="3">I18-J18</f>
        <v>0</v>
      </c>
      <c r="L18" s="140">
        <v>0</v>
      </c>
    </row>
    <row r="19" spans="2:12" x14ac:dyDescent="0.3">
      <c r="B19" s="25">
        <v>6128</v>
      </c>
      <c r="C19" s="25" t="s">
        <v>145</v>
      </c>
      <c r="D19" s="41">
        <v>255000</v>
      </c>
      <c r="E19" s="41"/>
      <c r="F19" s="41"/>
      <c r="G19" s="41">
        <v>255000</v>
      </c>
      <c r="H19" s="41"/>
      <c r="I19" s="41"/>
      <c r="J19" s="41"/>
      <c r="K19" s="41"/>
      <c r="L19" s="140">
        <v>0</v>
      </c>
    </row>
    <row r="20" spans="2:12" x14ac:dyDescent="0.3">
      <c r="B20" s="25">
        <v>6131</v>
      </c>
      <c r="C20" s="25" t="s">
        <v>146</v>
      </c>
      <c r="D20" s="41">
        <v>200000</v>
      </c>
      <c r="E20" s="41"/>
      <c r="F20" s="41"/>
      <c r="G20" s="41">
        <v>200000</v>
      </c>
      <c r="H20" s="41"/>
      <c r="I20" s="41"/>
      <c r="J20" s="41"/>
      <c r="K20" s="41"/>
      <c r="L20" s="140">
        <v>0</v>
      </c>
    </row>
    <row r="21" spans="2:12" x14ac:dyDescent="0.3">
      <c r="B21" s="25">
        <v>6138</v>
      </c>
      <c r="C21" s="25" t="s">
        <v>171</v>
      </c>
      <c r="D21" s="41">
        <v>828000</v>
      </c>
      <c r="E21" s="41"/>
      <c r="F21" s="41"/>
      <c r="G21" s="41">
        <v>828000</v>
      </c>
      <c r="H21" s="41"/>
      <c r="I21" s="41"/>
      <c r="J21" s="41"/>
      <c r="K21" s="41"/>
      <c r="L21" s="140">
        <v>0</v>
      </c>
    </row>
    <row r="22" spans="2:12" s="2" customFormat="1" x14ac:dyDescent="0.3">
      <c r="B22" s="24">
        <v>62</v>
      </c>
      <c r="C22" s="24" t="s">
        <v>67</v>
      </c>
      <c r="D22" s="40">
        <f>SUM(D24:D32)</f>
        <v>676000</v>
      </c>
      <c r="E22" s="40">
        <f t="shared" ref="E22:K22" si="4">SUM(E24:E32)</f>
        <v>0</v>
      </c>
      <c r="F22" s="40">
        <f t="shared" si="4"/>
        <v>0</v>
      </c>
      <c r="G22" s="40">
        <f t="shared" si="4"/>
        <v>676000</v>
      </c>
      <c r="H22" s="40">
        <f t="shared" si="4"/>
        <v>0</v>
      </c>
      <c r="I22" s="40">
        <f t="shared" si="4"/>
        <v>0</v>
      </c>
      <c r="J22" s="40">
        <f t="shared" si="4"/>
        <v>0</v>
      </c>
      <c r="K22" s="40">
        <f t="shared" si="4"/>
        <v>0</v>
      </c>
      <c r="L22" s="141">
        <v>0</v>
      </c>
    </row>
    <row r="23" spans="2:12" s="2" customFormat="1" x14ac:dyDescent="0.3">
      <c r="B23" s="26">
        <v>6211</v>
      </c>
      <c r="C23" s="30" t="s">
        <v>172</v>
      </c>
      <c r="D23" s="40"/>
      <c r="E23" s="40"/>
      <c r="F23" s="40"/>
      <c r="G23" s="40"/>
      <c r="H23" s="40"/>
      <c r="I23" s="40"/>
      <c r="J23" s="40"/>
      <c r="K23" s="40" t="s">
        <v>142</v>
      </c>
      <c r="L23" s="40"/>
    </row>
    <row r="24" spans="2:12" s="2" customFormat="1" x14ac:dyDescent="0.3">
      <c r="B24" s="26">
        <v>6221</v>
      </c>
      <c r="C24" s="30" t="s">
        <v>160</v>
      </c>
      <c r="D24" s="42" t="s">
        <v>142</v>
      </c>
      <c r="E24" s="40"/>
      <c r="F24" s="40"/>
      <c r="G24" s="42" t="s">
        <v>142</v>
      </c>
      <c r="H24" s="40"/>
      <c r="I24" s="40"/>
      <c r="J24" s="40"/>
      <c r="K24" s="40"/>
      <c r="L24" s="40"/>
    </row>
    <row r="25" spans="2:12" x14ac:dyDescent="0.3">
      <c r="B25" s="25">
        <v>6224</v>
      </c>
      <c r="C25" s="25" t="s">
        <v>147</v>
      </c>
      <c r="D25" s="41">
        <v>50000</v>
      </c>
      <c r="E25" s="41"/>
      <c r="F25" s="41" t="s">
        <v>142</v>
      </c>
      <c r="G25" s="41">
        <v>50000</v>
      </c>
      <c r="H25" s="41"/>
      <c r="I25" s="41"/>
      <c r="J25" s="41"/>
      <c r="K25" s="41">
        <f>I25-J25</f>
        <v>0</v>
      </c>
      <c r="L25" s="141">
        <f t="shared" ref="L25:L39" si="5">I25/G25</f>
        <v>0</v>
      </c>
    </row>
    <row r="26" spans="2:12" x14ac:dyDescent="0.3">
      <c r="B26" s="25">
        <v>6231</v>
      </c>
      <c r="C26" s="25" t="s">
        <v>148</v>
      </c>
      <c r="D26" s="41" t="s">
        <v>142</v>
      </c>
      <c r="E26" s="41"/>
      <c r="F26" s="41"/>
      <c r="G26" s="41" t="s">
        <v>142</v>
      </c>
      <c r="H26" s="41"/>
      <c r="I26" s="41"/>
      <c r="J26" s="41"/>
      <c r="K26" s="41">
        <f t="shared" ref="K26:K28" si="6">I26-J26</f>
        <v>0</v>
      </c>
      <c r="L26" s="141"/>
    </row>
    <row r="27" spans="2:12" x14ac:dyDescent="0.3">
      <c r="B27" s="25">
        <v>6235</v>
      </c>
      <c r="C27" s="25" t="s">
        <v>161</v>
      </c>
      <c r="D27" s="41" t="s">
        <v>142</v>
      </c>
      <c r="E27" s="41"/>
      <c r="F27" s="41"/>
      <c r="G27" s="41" t="s">
        <v>142</v>
      </c>
      <c r="H27" s="41"/>
      <c r="I27" s="41"/>
      <c r="J27" s="41"/>
      <c r="K27" s="41"/>
      <c r="L27" s="40"/>
    </row>
    <row r="28" spans="2:12" x14ac:dyDescent="0.3">
      <c r="B28" s="25">
        <v>6241</v>
      </c>
      <c r="C28" s="25" t="s">
        <v>149</v>
      </c>
      <c r="D28" s="41">
        <v>576000</v>
      </c>
      <c r="E28" s="41"/>
      <c r="F28" s="41"/>
      <c r="G28" s="41">
        <v>576000</v>
      </c>
      <c r="H28" s="41"/>
      <c r="I28" s="41"/>
      <c r="J28" s="41"/>
      <c r="K28" s="41">
        <f t="shared" si="6"/>
        <v>0</v>
      </c>
      <c r="L28" s="141">
        <f t="shared" si="5"/>
        <v>0</v>
      </c>
    </row>
    <row r="29" spans="2:12" x14ac:dyDescent="0.3">
      <c r="B29" s="25">
        <v>6250</v>
      </c>
      <c r="C29" s="25" t="s">
        <v>173</v>
      </c>
      <c r="D29" s="41"/>
      <c r="E29" s="41"/>
      <c r="F29" s="41"/>
      <c r="G29" s="41"/>
      <c r="H29" s="41"/>
      <c r="I29" s="41"/>
      <c r="J29" s="41"/>
      <c r="K29" s="41"/>
      <c r="L29" s="141"/>
    </row>
    <row r="30" spans="2:12" x14ac:dyDescent="0.3">
      <c r="B30" s="25">
        <v>6263</v>
      </c>
      <c r="C30" s="25" t="s">
        <v>174</v>
      </c>
      <c r="D30" s="41">
        <v>50000</v>
      </c>
      <c r="E30" s="41"/>
      <c r="F30" s="41"/>
      <c r="G30" s="41">
        <v>50000</v>
      </c>
      <c r="H30" s="41"/>
      <c r="I30" s="41"/>
      <c r="J30" s="41"/>
      <c r="K30" s="41"/>
      <c r="L30" s="141">
        <f t="shared" si="5"/>
        <v>0</v>
      </c>
    </row>
    <row r="31" spans="2:12" x14ac:dyDescent="0.3">
      <c r="B31" s="25">
        <v>6285</v>
      </c>
      <c r="C31" s="25" t="s">
        <v>150</v>
      </c>
      <c r="D31" s="41" t="s">
        <v>142</v>
      </c>
      <c r="E31" s="41"/>
      <c r="F31" s="41"/>
      <c r="G31" s="41" t="s">
        <v>142</v>
      </c>
      <c r="H31" s="41"/>
      <c r="I31" s="41"/>
      <c r="J31" s="41"/>
      <c r="K31" s="41"/>
      <c r="L31" s="40" t="s">
        <v>142</v>
      </c>
    </row>
    <row r="32" spans="2:12" x14ac:dyDescent="0.3">
      <c r="B32" s="25">
        <v>6287</v>
      </c>
      <c r="C32" s="25" t="s">
        <v>151</v>
      </c>
      <c r="D32" s="41" t="s">
        <v>142</v>
      </c>
      <c r="E32" s="41"/>
      <c r="F32" s="41"/>
      <c r="G32" s="41" t="s">
        <v>142</v>
      </c>
      <c r="H32" s="41"/>
      <c r="I32" s="41"/>
      <c r="J32" s="41"/>
      <c r="K32" s="41"/>
      <c r="L32" s="40" t="s">
        <v>142</v>
      </c>
    </row>
    <row r="33" spans="2:12" x14ac:dyDescent="0.3">
      <c r="B33" s="24">
        <v>63</v>
      </c>
      <c r="C33" s="28" t="s">
        <v>152</v>
      </c>
      <c r="D33" s="40">
        <f>D34</f>
        <v>0</v>
      </c>
      <c r="E33" s="40">
        <f t="shared" ref="E33:K33" si="7">E34</f>
        <v>0</v>
      </c>
      <c r="F33" s="40">
        <f t="shared" si="7"/>
        <v>0</v>
      </c>
      <c r="G33" s="40">
        <f t="shared" si="7"/>
        <v>0</v>
      </c>
      <c r="H33" s="40">
        <f t="shared" si="7"/>
        <v>0</v>
      </c>
      <c r="I33" s="40">
        <f t="shared" si="7"/>
        <v>0</v>
      </c>
      <c r="J33" s="40">
        <f t="shared" si="7"/>
        <v>0</v>
      </c>
      <c r="K33" s="40">
        <f t="shared" si="7"/>
        <v>0</v>
      </c>
      <c r="L33" s="141" t="s">
        <v>142</v>
      </c>
    </row>
    <row r="34" spans="2:12" ht="14.25" customHeight="1" x14ac:dyDescent="0.3">
      <c r="B34" s="25">
        <v>6310</v>
      </c>
      <c r="C34" s="25" t="s">
        <v>153</v>
      </c>
      <c r="D34" s="41">
        <v>0</v>
      </c>
      <c r="E34" s="41"/>
      <c r="F34" s="41">
        <v>0</v>
      </c>
      <c r="G34" s="41">
        <v>0</v>
      </c>
      <c r="H34" s="41"/>
      <c r="I34" s="41"/>
      <c r="J34" s="41"/>
      <c r="K34" s="41"/>
      <c r="L34" s="40" t="s">
        <v>142</v>
      </c>
    </row>
    <row r="35" spans="2:12" s="2" customFormat="1" x14ac:dyDescent="0.3">
      <c r="B35" s="24">
        <v>65</v>
      </c>
      <c r="C35" s="24" t="s">
        <v>68</v>
      </c>
      <c r="D35" s="40">
        <f>D36</f>
        <v>0</v>
      </c>
      <c r="E35" s="40">
        <f t="shared" ref="E35:K35" si="8">E36</f>
        <v>0</v>
      </c>
      <c r="F35" s="40">
        <f t="shared" si="8"/>
        <v>0</v>
      </c>
      <c r="G35" s="40">
        <f t="shared" si="8"/>
        <v>0</v>
      </c>
      <c r="H35" s="40">
        <f t="shared" si="8"/>
        <v>0</v>
      </c>
      <c r="I35" s="40">
        <f t="shared" si="8"/>
        <v>0</v>
      </c>
      <c r="J35" s="40">
        <f t="shared" si="8"/>
        <v>0</v>
      </c>
      <c r="K35" s="40">
        <f t="shared" si="8"/>
        <v>0</v>
      </c>
      <c r="L35" s="140" t="s">
        <v>142</v>
      </c>
    </row>
    <row r="36" spans="2:12" s="6" customFormat="1" x14ac:dyDescent="0.3">
      <c r="B36" s="26">
        <v>6510</v>
      </c>
      <c r="C36" s="30" t="s">
        <v>162</v>
      </c>
      <c r="D36" s="68">
        <v>0</v>
      </c>
      <c r="E36" s="68">
        <v>0</v>
      </c>
      <c r="F36" s="68">
        <v>0</v>
      </c>
      <c r="G36" s="68">
        <v>0</v>
      </c>
      <c r="H36" s="68"/>
      <c r="I36" s="68"/>
      <c r="J36" s="68"/>
      <c r="K36" s="68">
        <f>I36-J36</f>
        <v>0</v>
      </c>
      <c r="L36" s="40" t="s">
        <v>142</v>
      </c>
    </row>
    <row r="37" spans="2:12" s="2" customFormat="1" x14ac:dyDescent="0.3">
      <c r="B37" s="27"/>
      <c r="C37" s="27" t="s">
        <v>70</v>
      </c>
      <c r="D37" s="65">
        <f>SUM(D5+D14+D22+ D33+D35)</f>
        <v>7823000</v>
      </c>
      <c r="E37" s="65">
        <f t="shared" ref="E37:F37" si="9">SUM(E5+E14+E22+ E33+E35)</f>
        <v>0</v>
      </c>
      <c r="F37" s="65">
        <f t="shared" si="9"/>
        <v>0</v>
      </c>
      <c r="G37" s="65">
        <f>SUM(G5+G14+G22+ G33+G35)</f>
        <v>7823000</v>
      </c>
      <c r="H37" s="65">
        <f>SUM(H5+H14+H22+ H33+H35)</f>
        <v>3600000</v>
      </c>
      <c r="I37" s="65">
        <f>SUM(I5+I14+I22+ I33+I35)</f>
        <v>3600000</v>
      </c>
      <c r="J37" s="65">
        <f>SUM(J5+J14+J22+ J33+J35)</f>
        <v>3600000</v>
      </c>
      <c r="K37" s="65">
        <f>SUM(K5+K14+K22+ K33+K35)</f>
        <v>0</v>
      </c>
      <c r="L37" s="141">
        <f t="shared" si="5"/>
        <v>0.46018151604243895</v>
      </c>
    </row>
    <row r="38" spans="2:12" x14ac:dyDescent="0.3">
      <c r="B38" s="25"/>
      <c r="C38" s="25" t="s">
        <v>71</v>
      </c>
      <c r="D38" s="41"/>
      <c r="E38" s="41"/>
      <c r="F38" s="41"/>
      <c r="G38" s="41"/>
      <c r="H38" s="41"/>
      <c r="I38" s="41"/>
      <c r="J38" s="41"/>
      <c r="K38" s="41"/>
      <c r="L38" s="40" t="s">
        <v>142</v>
      </c>
    </row>
    <row r="39" spans="2:12" s="1" customFormat="1" x14ac:dyDescent="0.3">
      <c r="B39" s="28"/>
      <c r="C39" s="28" t="s">
        <v>72</v>
      </c>
      <c r="D39" s="43">
        <f>D37+D38</f>
        <v>7823000</v>
      </c>
      <c r="E39" s="43">
        <f t="shared" ref="E39:K39" si="10">E37+E38</f>
        <v>0</v>
      </c>
      <c r="F39" s="43">
        <f t="shared" si="10"/>
        <v>0</v>
      </c>
      <c r="G39" s="43">
        <f t="shared" si="10"/>
        <v>7823000</v>
      </c>
      <c r="H39" s="43">
        <f t="shared" si="10"/>
        <v>3600000</v>
      </c>
      <c r="I39" s="43">
        <f t="shared" si="10"/>
        <v>3600000</v>
      </c>
      <c r="J39" s="43">
        <f t="shared" si="10"/>
        <v>3600000</v>
      </c>
      <c r="K39" s="43">
        <f t="shared" si="10"/>
        <v>0</v>
      </c>
      <c r="L39" s="141">
        <f t="shared" si="5"/>
        <v>0.46018151604243895</v>
      </c>
    </row>
    <row r="40" spans="2:12" x14ac:dyDescent="0.3">
      <c r="B40" s="25"/>
      <c r="C40" s="25"/>
      <c r="D40" s="41"/>
      <c r="E40" s="41"/>
      <c r="F40" s="41"/>
      <c r="G40" s="41"/>
      <c r="H40" s="41"/>
      <c r="I40" s="41"/>
      <c r="J40" s="41"/>
      <c r="K40" s="41"/>
      <c r="L40" s="41"/>
    </row>
    <row r="41" spans="2:12" s="1" customFormat="1" ht="15" thickBot="1" x14ac:dyDescent="0.35">
      <c r="B41" s="28"/>
      <c r="C41" s="28"/>
      <c r="D41" s="43"/>
      <c r="E41" s="43" t="s">
        <v>27</v>
      </c>
      <c r="F41" s="43"/>
      <c r="G41" s="43"/>
      <c r="H41" s="43"/>
      <c r="I41" s="43"/>
      <c r="J41" s="43"/>
      <c r="K41" s="43"/>
      <c r="L41" s="43"/>
    </row>
    <row r="42" spans="2:12" ht="43.8" thickBot="1" x14ac:dyDescent="0.35">
      <c r="B42" s="23" t="s">
        <v>0</v>
      </c>
      <c r="C42" s="23" t="s">
        <v>1</v>
      </c>
      <c r="D42" s="23" t="s">
        <v>2</v>
      </c>
      <c r="E42" s="23" t="s">
        <v>3</v>
      </c>
      <c r="F42" s="45" t="s">
        <v>4</v>
      </c>
      <c r="G42" s="48" t="s">
        <v>24</v>
      </c>
      <c r="H42" s="23" t="s">
        <v>42</v>
      </c>
      <c r="I42" s="48" t="s">
        <v>46</v>
      </c>
      <c r="J42" s="48" t="s">
        <v>44</v>
      </c>
      <c r="K42" s="48" t="s">
        <v>45</v>
      </c>
      <c r="L42" s="48" t="s">
        <v>47</v>
      </c>
    </row>
    <row r="43" spans="2:12" s="2" customFormat="1" x14ac:dyDescent="0.3">
      <c r="B43" s="24">
        <v>16</v>
      </c>
      <c r="C43" s="24" t="s">
        <v>73</v>
      </c>
      <c r="D43" s="40">
        <f>D44</f>
        <v>0</v>
      </c>
      <c r="E43" s="40">
        <f t="shared" ref="E43:K43" si="11">E44</f>
        <v>0</v>
      </c>
      <c r="F43" s="40">
        <f t="shared" si="11"/>
        <v>0</v>
      </c>
      <c r="G43" s="40">
        <f t="shared" si="11"/>
        <v>0</v>
      </c>
      <c r="H43" s="40">
        <f t="shared" si="11"/>
        <v>0</v>
      </c>
      <c r="I43" s="40">
        <f t="shared" si="11"/>
        <v>0</v>
      </c>
      <c r="J43" s="40">
        <f t="shared" si="11"/>
        <v>0</v>
      </c>
      <c r="K43" s="40">
        <f t="shared" si="11"/>
        <v>0</v>
      </c>
      <c r="L43" s="141">
        <v>0</v>
      </c>
    </row>
    <row r="44" spans="2:12" x14ac:dyDescent="0.3">
      <c r="B44" s="25"/>
      <c r="C44" s="25"/>
      <c r="D44" s="41"/>
      <c r="E44" s="41"/>
      <c r="F44" s="41"/>
      <c r="G44" s="41"/>
      <c r="H44" s="41"/>
      <c r="I44" s="41"/>
      <c r="J44" s="41"/>
      <c r="K44" s="41"/>
      <c r="L44" s="141"/>
    </row>
    <row r="45" spans="2:12" s="2" customFormat="1" x14ac:dyDescent="0.3">
      <c r="B45" s="24">
        <v>20</v>
      </c>
      <c r="C45" s="24" t="s">
        <v>74</v>
      </c>
      <c r="D45" s="40">
        <f>SUM(D46:D47)</f>
        <v>0</v>
      </c>
      <c r="E45" s="40">
        <f t="shared" ref="E45:K45" si="12">SUM(E46:E47)</f>
        <v>0</v>
      </c>
      <c r="F45" s="40">
        <f t="shared" si="12"/>
        <v>0</v>
      </c>
      <c r="G45" s="40">
        <f t="shared" si="12"/>
        <v>0</v>
      </c>
      <c r="H45" s="40">
        <f t="shared" si="12"/>
        <v>0</v>
      </c>
      <c r="I45" s="40">
        <f t="shared" si="12"/>
        <v>0</v>
      </c>
      <c r="J45" s="40">
        <f t="shared" si="12"/>
        <v>0</v>
      </c>
      <c r="K45" s="40">
        <f t="shared" si="12"/>
        <v>0</v>
      </c>
      <c r="L45" s="141">
        <v>0</v>
      </c>
    </row>
    <row r="46" spans="2:12" hidden="1" x14ac:dyDescent="0.3">
      <c r="B46" s="25">
        <v>2014</v>
      </c>
      <c r="C46" s="25" t="s">
        <v>75</v>
      </c>
      <c r="D46" s="41"/>
      <c r="E46" s="41"/>
      <c r="F46" s="41"/>
      <c r="G46" s="41"/>
      <c r="H46" s="41"/>
      <c r="I46" s="41"/>
      <c r="J46" s="41"/>
      <c r="K46" s="41">
        <f>I46-J46</f>
        <v>0</v>
      </c>
      <c r="L46" s="141">
        <v>0</v>
      </c>
    </row>
    <row r="47" spans="2:12" x14ac:dyDescent="0.3">
      <c r="B47" s="25">
        <v>2080</v>
      </c>
      <c r="C47" s="25" t="s">
        <v>163</v>
      </c>
      <c r="D47" s="41">
        <v>0</v>
      </c>
      <c r="E47" s="41"/>
      <c r="F47" s="41"/>
      <c r="G47" s="41">
        <v>0</v>
      </c>
      <c r="H47" s="41"/>
      <c r="I47" s="41"/>
      <c r="J47" s="41"/>
      <c r="K47" s="41"/>
      <c r="L47" s="141"/>
    </row>
    <row r="48" spans="2:12" s="2" customFormat="1" x14ac:dyDescent="0.3">
      <c r="B48" s="24">
        <v>21</v>
      </c>
      <c r="C48" s="24" t="s">
        <v>76</v>
      </c>
      <c r="D48" s="40">
        <f>SUM(D49:D59)</f>
        <v>0</v>
      </c>
      <c r="E48" s="40">
        <f t="shared" ref="E48:K48" si="13">SUM(E49:E59)</f>
        <v>0</v>
      </c>
      <c r="F48" s="40">
        <f t="shared" si="13"/>
        <v>0</v>
      </c>
      <c r="G48" s="40">
        <f t="shared" si="13"/>
        <v>0</v>
      </c>
      <c r="H48" s="40">
        <f t="shared" si="13"/>
        <v>0</v>
      </c>
      <c r="I48" s="40">
        <f t="shared" si="13"/>
        <v>0</v>
      </c>
      <c r="J48" s="40">
        <f t="shared" si="13"/>
        <v>0</v>
      </c>
      <c r="K48" s="40">
        <f t="shared" si="13"/>
        <v>0</v>
      </c>
      <c r="L48" s="141">
        <v>0</v>
      </c>
    </row>
    <row r="49" spans="2:12" s="2" customFormat="1" x14ac:dyDescent="0.3">
      <c r="B49" s="26">
        <v>2111</v>
      </c>
      <c r="C49" s="30" t="s">
        <v>175</v>
      </c>
      <c r="D49" s="40"/>
      <c r="E49" s="40"/>
      <c r="F49" s="40"/>
      <c r="G49" s="40"/>
      <c r="H49" s="40"/>
      <c r="I49" s="40"/>
      <c r="J49" s="40"/>
      <c r="K49" s="40"/>
      <c r="L49" s="49" t="s">
        <v>142</v>
      </c>
    </row>
    <row r="50" spans="2:12" hidden="1" x14ac:dyDescent="0.3">
      <c r="B50" s="25">
        <v>2131</v>
      </c>
      <c r="C50" s="25" t="s">
        <v>77</v>
      </c>
      <c r="D50" s="41"/>
      <c r="E50" s="41"/>
      <c r="F50" s="41"/>
      <c r="G50" s="41"/>
      <c r="H50" s="41"/>
      <c r="I50" s="41"/>
      <c r="J50" s="41"/>
      <c r="K50" s="41"/>
      <c r="L50" s="49" t="e">
        <f t="shared" ref="L50:L51" si="14">I50/G50</f>
        <v>#DIV/0!</v>
      </c>
    </row>
    <row r="51" spans="2:12" hidden="1" x14ac:dyDescent="0.3">
      <c r="B51" s="25">
        <v>2132</v>
      </c>
      <c r="C51" s="25" t="s">
        <v>164</v>
      </c>
      <c r="D51" s="41"/>
      <c r="E51" s="41"/>
      <c r="F51" s="41" t="s">
        <v>142</v>
      </c>
      <c r="G51" s="41" t="s">
        <v>142</v>
      </c>
      <c r="H51" s="41"/>
      <c r="I51" s="41"/>
      <c r="J51" s="41"/>
      <c r="K51" s="41"/>
      <c r="L51" s="49" t="e">
        <f t="shared" si="14"/>
        <v>#VALUE!</v>
      </c>
    </row>
    <row r="52" spans="2:12" x14ac:dyDescent="0.3">
      <c r="B52" s="25">
        <v>2138</v>
      </c>
      <c r="C52" s="25" t="s">
        <v>154</v>
      </c>
      <c r="D52" s="41" t="s">
        <v>166</v>
      </c>
      <c r="E52" s="41"/>
      <c r="F52" s="41" t="s">
        <v>142</v>
      </c>
      <c r="G52" s="41" t="s">
        <v>142</v>
      </c>
      <c r="H52" s="41"/>
      <c r="I52" s="41"/>
      <c r="J52" s="41"/>
      <c r="K52" s="41"/>
      <c r="L52" s="49"/>
    </row>
    <row r="53" spans="2:12" x14ac:dyDescent="0.3">
      <c r="B53" s="25">
        <v>2141</v>
      </c>
      <c r="C53" s="25" t="s">
        <v>165</v>
      </c>
      <c r="D53" s="41" t="s">
        <v>142</v>
      </c>
      <c r="E53" s="41"/>
      <c r="F53" s="41" t="s">
        <v>142</v>
      </c>
      <c r="G53" s="41" t="s">
        <v>142</v>
      </c>
      <c r="H53" s="41"/>
      <c r="I53" s="41"/>
      <c r="J53" s="41"/>
      <c r="K53" s="41"/>
      <c r="L53" s="49"/>
    </row>
    <row r="54" spans="2:12" x14ac:dyDescent="0.3">
      <c r="B54" s="25">
        <v>2161</v>
      </c>
      <c r="C54" s="25" t="s">
        <v>155</v>
      </c>
      <c r="D54" s="41"/>
      <c r="E54" s="41"/>
      <c r="F54" s="41" t="s">
        <v>142</v>
      </c>
      <c r="G54" s="41" t="s">
        <v>142</v>
      </c>
      <c r="H54" s="41"/>
      <c r="I54" s="41"/>
      <c r="J54" s="41"/>
      <c r="K54" s="41"/>
      <c r="L54" s="49"/>
    </row>
    <row r="55" spans="2:12" x14ac:dyDescent="0.3">
      <c r="B55" s="25">
        <v>2163</v>
      </c>
      <c r="C55" s="25" t="s">
        <v>78</v>
      </c>
      <c r="D55" s="41" t="s">
        <v>142</v>
      </c>
      <c r="E55" s="41"/>
      <c r="F55" s="41" t="s">
        <v>142</v>
      </c>
      <c r="G55" s="41" t="s">
        <v>142</v>
      </c>
      <c r="H55" s="41"/>
      <c r="I55" s="41"/>
      <c r="J55" s="41"/>
      <c r="K55" s="41"/>
      <c r="L55" s="49"/>
    </row>
    <row r="56" spans="2:12" x14ac:dyDescent="0.3">
      <c r="B56" s="25">
        <v>2164</v>
      </c>
      <c r="C56" s="25" t="s">
        <v>156</v>
      </c>
      <c r="D56" s="41"/>
      <c r="E56" s="41"/>
      <c r="F56" s="41" t="s">
        <v>166</v>
      </c>
      <c r="G56" s="41" t="s">
        <v>142</v>
      </c>
      <c r="H56" s="41"/>
      <c r="I56" s="41"/>
      <c r="J56" s="41"/>
      <c r="K56" s="41"/>
      <c r="L56" s="49"/>
    </row>
    <row r="57" spans="2:12" x14ac:dyDescent="0.3">
      <c r="B57" s="25">
        <v>2165</v>
      </c>
      <c r="C57" s="25" t="s">
        <v>157</v>
      </c>
      <c r="D57" s="41" t="s">
        <v>142</v>
      </c>
      <c r="E57" s="41"/>
      <c r="F57" s="41"/>
      <c r="G57" s="41" t="s">
        <v>142</v>
      </c>
      <c r="H57" s="41"/>
      <c r="I57" s="41"/>
      <c r="J57" s="41"/>
      <c r="K57" s="41"/>
      <c r="L57" s="49"/>
    </row>
    <row r="58" spans="2:12" x14ac:dyDescent="0.3">
      <c r="B58" s="25">
        <v>2166</v>
      </c>
      <c r="C58" s="25" t="s">
        <v>167</v>
      </c>
      <c r="D58" s="41" t="s">
        <v>142</v>
      </c>
      <c r="E58" s="41"/>
      <c r="F58" s="41" t="s">
        <v>142</v>
      </c>
      <c r="G58" s="41" t="s">
        <v>142</v>
      </c>
      <c r="H58" s="41"/>
      <c r="I58" s="41"/>
      <c r="J58" s="41"/>
      <c r="K58" s="41"/>
      <c r="L58" s="49"/>
    </row>
    <row r="59" spans="2:12" x14ac:dyDescent="0.3">
      <c r="B59" s="25">
        <v>2188</v>
      </c>
      <c r="C59" s="25" t="s">
        <v>168</v>
      </c>
      <c r="D59" s="41" t="s">
        <v>142</v>
      </c>
      <c r="E59" s="41"/>
      <c r="F59" s="41"/>
      <c r="G59" s="41"/>
      <c r="H59" s="41"/>
      <c r="I59" s="41"/>
      <c r="J59" s="41"/>
      <c r="K59" s="41"/>
      <c r="L59" s="49"/>
    </row>
    <row r="60" spans="2:12" s="1" customFormat="1" x14ac:dyDescent="0.3">
      <c r="B60" s="28"/>
      <c r="C60" s="28" t="s">
        <v>79</v>
      </c>
      <c r="D60" s="43">
        <v>0</v>
      </c>
      <c r="E60" s="43">
        <f>E43+E45+E48</f>
        <v>0</v>
      </c>
      <c r="F60" s="43">
        <f>F43+F45+F48</f>
        <v>0</v>
      </c>
      <c r="G60" s="43">
        <v>0</v>
      </c>
      <c r="H60" s="43">
        <f>H43+H45+H48</f>
        <v>0</v>
      </c>
      <c r="I60" s="43">
        <f>I43+I45+I48</f>
        <v>0</v>
      </c>
      <c r="J60" s="43">
        <f>J43+J45+J48</f>
        <v>0</v>
      </c>
      <c r="K60" s="43">
        <f>K43+K45+K48</f>
        <v>0</v>
      </c>
      <c r="L60" s="141">
        <v>0</v>
      </c>
    </row>
    <row r="61" spans="2:12" s="2" customFormat="1" x14ac:dyDescent="0.3">
      <c r="B61" s="24">
        <v>20</v>
      </c>
      <c r="C61" s="24" t="s">
        <v>74</v>
      </c>
      <c r="D61" s="40"/>
      <c r="E61" s="40"/>
      <c r="F61" s="40"/>
      <c r="G61" s="40"/>
      <c r="H61" s="40"/>
      <c r="I61" s="40"/>
      <c r="J61" s="40"/>
      <c r="K61" s="40"/>
      <c r="L61" s="49" t="s">
        <v>142</v>
      </c>
    </row>
    <row r="62" spans="2:12" s="2" customFormat="1" x14ac:dyDescent="0.3">
      <c r="B62" s="24">
        <v>21</v>
      </c>
      <c r="C62" s="24" t="s">
        <v>76</v>
      </c>
      <c r="D62" s="40"/>
      <c r="E62" s="40"/>
      <c r="F62" s="40"/>
      <c r="G62" s="40"/>
      <c r="H62" s="40"/>
      <c r="I62" s="40"/>
      <c r="J62" s="40"/>
      <c r="K62" s="40"/>
      <c r="L62" s="49" t="s">
        <v>142</v>
      </c>
    </row>
    <row r="63" spans="2:12" s="1" customFormat="1" x14ac:dyDescent="0.3">
      <c r="B63" s="28"/>
      <c r="C63" s="28" t="s">
        <v>80</v>
      </c>
      <c r="D63" s="43">
        <f>SUM(D61:D62)</f>
        <v>0</v>
      </c>
      <c r="E63" s="43">
        <f t="shared" ref="E63:K63" si="15">SUM(E61:E62)</f>
        <v>0</v>
      </c>
      <c r="F63" s="43">
        <f t="shared" si="15"/>
        <v>0</v>
      </c>
      <c r="G63" s="43">
        <f t="shared" si="15"/>
        <v>0</v>
      </c>
      <c r="H63" s="43">
        <f t="shared" si="15"/>
        <v>0</v>
      </c>
      <c r="I63" s="43">
        <f t="shared" si="15"/>
        <v>0</v>
      </c>
      <c r="J63" s="43">
        <f t="shared" si="15"/>
        <v>0</v>
      </c>
      <c r="K63" s="43">
        <f t="shared" si="15"/>
        <v>0</v>
      </c>
      <c r="L63" s="141">
        <v>0</v>
      </c>
    </row>
    <row r="64" spans="2:12" s="1" customFormat="1" ht="15" thickBot="1" x14ac:dyDescent="0.35">
      <c r="B64" s="29"/>
      <c r="C64" s="29" t="s">
        <v>81</v>
      </c>
      <c r="D64" s="44">
        <f>D60+D63</f>
        <v>0</v>
      </c>
      <c r="E64" s="44">
        <f t="shared" ref="E64:K64" si="16">E60+E63</f>
        <v>0</v>
      </c>
      <c r="F64" s="44">
        <f t="shared" si="16"/>
        <v>0</v>
      </c>
      <c r="G64" s="44">
        <f t="shared" si="16"/>
        <v>0</v>
      </c>
      <c r="H64" s="44">
        <f t="shared" si="16"/>
        <v>0</v>
      </c>
      <c r="I64" s="44">
        <f t="shared" si="16"/>
        <v>0</v>
      </c>
      <c r="J64" s="44">
        <f t="shared" si="16"/>
        <v>0</v>
      </c>
      <c r="K64" s="44">
        <f t="shared" si="16"/>
        <v>0</v>
      </c>
      <c r="L64" s="141">
        <v>0</v>
      </c>
    </row>
    <row r="65" spans="4:12" x14ac:dyDescent="0.3">
      <c r="D65" s="8"/>
      <c r="E65" s="8"/>
      <c r="F65" s="8"/>
      <c r="G65" s="8"/>
      <c r="H65" s="8"/>
      <c r="I65" s="8"/>
      <c r="J65" s="8"/>
      <c r="K65" s="8"/>
      <c r="L65" s="8"/>
    </row>
    <row r="66" spans="4:12" x14ac:dyDescent="0.3">
      <c r="D66" s="8"/>
      <c r="E66" s="8"/>
      <c r="F66" s="8"/>
      <c r="G66" s="8"/>
      <c r="H66" s="8"/>
      <c r="I66" s="8"/>
      <c r="J66" s="8"/>
      <c r="K66" s="8"/>
      <c r="L66" s="8"/>
    </row>
    <row r="67" spans="4:12" x14ac:dyDescent="0.3">
      <c r="D67" s="8"/>
      <c r="E67" s="8"/>
      <c r="F67" s="8"/>
      <c r="G67" s="8"/>
      <c r="H67" s="8"/>
      <c r="I67" s="8"/>
      <c r="J67" s="8"/>
      <c r="K67" s="8"/>
      <c r="L67" s="8"/>
    </row>
    <row r="68" spans="4:12" x14ac:dyDescent="0.3">
      <c r="D68" s="8"/>
      <c r="E68" s="8"/>
      <c r="F68" s="8"/>
      <c r="G68" s="8"/>
      <c r="H68" s="8"/>
      <c r="I68" s="8"/>
      <c r="J68" s="8"/>
      <c r="K68" s="8"/>
      <c r="L68" s="8"/>
    </row>
    <row r="69" spans="4:12" x14ac:dyDescent="0.3">
      <c r="D69" s="8"/>
      <c r="E69" s="8"/>
      <c r="F69" s="8"/>
      <c r="G69" s="8"/>
      <c r="H69" s="8"/>
      <c r="I69" s="8"/>
      <c r="J69" s="8"/>
      <c r="K69" s="8"/>
      <c r="L69" s="8"/>
    </row>
    <row r="70" spans="4:12" x14ac:dyDescent="0.3">
      <c r="D70" s="8"/>
      <c r="E70" s="8"/>
      <c r="F70" s="8"/>
      <c r="G70" s="8"/>
      <c r="H70" s="8"/>
      <c r="I70" s="8"/>
      <c r="J70" s="8"/>
      <c r="K70" s="8"/>
      <c r="L70" s="8"/>
    </row>
    <row r="71" spans="4:12" x14ac:dyDescent="0.3">
      <c r="D71" s="8"/>
      <c r="E71" s="8"/>
      <c r="F71" s="8"/>
      <c r="G71" s="8"/>
      <c r="H71" s="8"/>
      <c r="I71" s="8"/>
      <c r="J71" s="8"/>
      <c r="K71" s="8"/>
      <c r="L71" s="8"/>
    </row>
    <row r="72" spans="4:12" x14ac:dyDescent="0.3">
      <c r="D72" s="8"/>
      <c r="E72" s="8"/>
      <c r="F72" s="8"/>
      <c r="G72" s="8"/>
      <c r="H72" s="8"/>
      <c r="I72" s="8"/>
      <c r="J72" s="8"/>
      <c r="K72" s="8"/>
      <c r="L72" s="8"/>
    </row>
    <row r="73" spans="4:12" x14ac:dyDescent="0.3">
      <c r="D73" s="8"/>
      <c r="E73" s="8"/>
      <c r="F73" s="8"/>
      <c r="G73" s="8"/>
      <c r="H73" s="8"/>
      <c r="I73" s="8"/>
      <c r="J73" s="8"/>
      <c r="K73" s="8"/>
      <c r="L73" s="8"/>
    </row>
    <row r="74" spans="4:12" x14ac:dyDescent="0.3">
      <c r="D74" s="8"/>
      <c r="E74" s="8"/>
      <c r="F74" s="8"/>
      <c r="G74" s="8"/>
      <c r="H74" s="8"/>
      <c r="I74" s="8"/>
      <c r="J74" s="8"/>
      <c r="K74" s="8"/>
      <c r="L74" s="8"/>
    </row>
    <row r="75" spans="4:12" x14ac:dyDescent="0.3">
      <c r="D75" s="8"/>
      <c r="E75" s="8"/>
      <c r="F75" s="8"/>
      <c r="G75" s="8"/>
      <c r="H75" s="8"/>
      <c r="I75" s="8"/>
      <c r="J75" s="8"/>
      <c r="K75" s="8"/>
      <c r="L75" s="8"/>
    </row>
    <row r="76" spans="4:12" x14ac:dyDescent="0.3">
      <c r="D76" s="8"/>
      <c r="E76" s="8"/>
      <c r="F76" s="8"/>
      <c r="G76" s="8"/>
      <c r="H76" s="8"/>
      <c r="I76" s="8"/>
      <c r="J76" s="8"/>
      <c r="K76" s="8"/>
      <c r="L76" s="8"/>
    </row>
    <row r="77" spans="4:12" x14ac:dyDescent="0.3">
      <c r="D77" s="8"/>
      <c r="E77" s="8"/>
      <c r="F77" s="8"/>
      <c r="G77" s="8"/>
      <c r="H77" s="8"/>
      <c r="I77" s="8"/>
      <c r="J77" s="8"/>
      <c r="K77" s="8"/>
      <c r="L77" s="8"/>
    </row>
    <row r="78" spans="4:12" x14ac:dyDescent="0.3">
      <c r="D78" s="8"/>
      <c r="E78" s="8"/>
      <c r="F78" s="8"/>
      <c r="G78" s="8"/>
      <c r="H78" s="8"/>
      <c r="I78" s="8"/>
      <c r="J78" s="8"/>
      <c r="K78" s="8"/>
      <c r="L78" s="8"/>
    </row>
    <row r="79" spans="4:12" x14ac:dyDescent="0.3">
      <c r="D79" s="8"/>
      <c r="E79" s="8"/>
      <c r="F79" s="8"/>
      <c r="G79" s="8"/>
      <c r="H79" s="8"/>
      <c r="I79" s="8"/>
      <c r="J79" s="8"/>
      <c r="K79" s="8"/>
      <c r="L79" s="8"/>
    </row>
    <row r="80" spans="4:12" x14ac:dyDescent="0.3">
      <c r="D80" s="8"/>
      <c r="E80" s="8"/>
      <c r="F80" s="8"/>
      <c r="G80" s="8"/>
      <c r="H80" s="8"/>
      <c r="I80" s="8"/>
      <c r="J80" s="8"/>
      <c r="K80" s="8"/>
      <c r="L80" s="8"/>
    </row>
    <row r="81" spans="4:12" x14ac:dyDescent="0.3">
      <c r="D81" s="8"/>
      <c r="E81" s="8"/>
      <c r="F81" s="8"/>
      <c r="G81" s="8"/>
      <c r="H81" s="8"/>
      <c r="I81" s="8"/>
      <c r="J81" s="8"/>
      <c r="K81" s="8"/>
      <c r="L81" s="8"/>
    </row>
    <row r="82" spans="4:12" x14ac:dyDescent="0.3">
      <c r="D82" s="8"/>
      <c r="E82" s="8"/>
      <c r="F82" s="8"/>
      <c r="G82" s="8"/>
      <c r="H82" s="8"/>
      <c r="I82" s="8"/>
      <c r="J82" s="8"/>
      <c r="K82" s="8"/>
      <c r="L82" s="8"/>
    </row>
    <row r="83" spans="4:12" x14ac:dyDescent="0.3">
      <c r="D83" s="8"/>
      <c r="E83" s="8"/>
      <c r="F83" s="8"/>
      <c r="G83" s="8"/>
      <c r="H83" s="8"/>
      <c r="I83" s="8"/>
      <c r="J83" s="8"/>
      <c r="K83" s="8"/>
      <c r="L83" s="8"/>
    </row>
    <row r="84" spans="4:12" x14ac:dyDescent="0.3">
      <c r="D84" s="8"/>
      <c r="E84" s="8"/>
      <c r="F84" s="8"/>
      <c r="G84" s="8"/>
      <c r="H84" s="8"/>
      <c r="I84" s="8"/>
      <c r="J84" s="8"/>
      <c r="K84" s="8"/>
      <c r="L84" s="8"/>
    </row>
    <row r="85" spans="4:12" x14ac:dyDescent="0.3">
      <c r="D85" s="8"/>
      <c r="E85" s="8"/>
      <c r="F85" s="8"/>
      <c r="G85" s="8"/>
      <c r="H85" s="8"/>
      <c r="I85" s="8"/>
      <c r="J85" s="8"/>
      <c r="K85" s="8"/>
      <c r="L85" s="8"/>
    </row>
    <row r="86" spans="4:12" x14ac:dyDescent="0.3">
      <c r="D86" s="8"/>
      <c r="E86" s="8"/>
      <c r="F86" s="8"/>
      <c r="G86" s="8"/>
      <c r="H86" s="8"/>
      <c r="I86" s="8"/>
      <c r="J86" s="8"/>
      <c r="K86" s="8"/>
      <c r="L86" s="8"/>
    </row>
    <row r="87" spans="4:12" x14ac:dyDescent="0.3">
      <c r="D87" s="8"/>
      <c r="E87" s="8"/>
      <c r="F87" s="8"/>
      <c r="G87" s="8"/>
      <c r="H87" s="8"/>
      <c r="I87" s="8"/>
      <c r="J87" s="8"/>
      <c r="K87" s="8"/>
      <c r="L87" s="8"/>
    </row>
    <row r="88" spans="4:12" x14ac:dyDescent="0.3">
      <c r="D88" s="8"/>
      <c r="E88" s="8"/>
      <c r="F88" s="8"/>
      <c r="G88" s="8"/>
      <c r="H88" s="8"/>
      <c r="I88" s="8"/>
      <c r="J88" s="8"/>
      <c r="K88" s="8"/>
      <c r="L88" s="8"/>
    </row>
    <row r="89" spans="4:12" x14ac:dyDescent="0.3">
      <c r="D89" s="8"/>
      <c r="E89" s="8"/>
      <c r="F89" s="8"/>
      <c r="G89" s="8"/>
      <c r="H89" s="8"/>
      <c r="I89" s="8"/>
      <c r="J89" s="8"/>
      <c r="K89" s="8"/>
      <c r="L89" s="8"/>
    </row>
    <row r="90" spans="4:12" x14ac:dyDescent="0.3">
      <c r="D90" s="8"/>
      <c r="E90" s="8"/>
      <c r="F90" s="8"/>
      <c r="G90" s="8"/>
      <c r="H90" s="8"/>
      <c r="I90" s="8"/>
      <c r="J90" s="8"/>
      <c r="K90" s="8"/>
      <c r="L90" s="8"/>
    </row>
    <row r="91" spans="4:12" x14ac:dyDescent="0.3">
      <c r="D91" s="8"/>
      <c r="E91" s="8"/>
      <c r="F91" s="8"/>
      <c r="G91" s="8"/>
      <c r="H91" s="8"/>
      <c r="I91" s="8"/>
      <c r="J91" s="8"/>
      <c r="K91" s="8"/>
      <c r="L91" s="8"/>
    </row>
    <row r="92" spans="4:12" x14ac:dyDescent="0.3">
      <c r="D92" s="8"/>
      <c r="E92" s="8"/>
      <c r="F92" s="8"/>
      <c r="G92" s="8"/>
      <c r="H92" s="8"/>
      <c r="I92" s="8"/>
      <c r="J92" s="8"/>
      <c r="K92" s="8"/>
      <c r="L92" s="8"/>
    </row>
    <row r="93" spans="4:12" x14ac:dyDescent="0.3">
      <c r="D93" s="8"/>
      <c r="E93" s="8"/>
      <c r="F93" s="8"/>
      <c r="G93" s="8"/>
      <c r="H93" s="8"/>
      <c r="I93" s="8"/>
      <c r="J93" s="8"/>
      <c r="K93" s="8"/>
      <c r="L93" s="8"/>
    </row>
    <row r="94" spans="4:12" x14ac:dyDescent="0.3">
      <c r="D94" s="8"/>
      <c r="E94" s="8"/>
      <c r="F94" s="8"/>
      <c r="G94" s="8"/>
      <c r="H94" s="8"/>
      <c r="I94" s="8"/>
      <c r="J94" s="8"/>
      <c r="K94" s="8"/>
      <c r="L94" s="8"/>
    </row>
    <row r="95" spans="4:12" x14ac:dyDescent="0.3">
      <c r="D95" s="8"/>
      <c r="E95" s="8"/>
      <c r="F95" s="8"/>
      <c r="G95" s="8"/>
      <c r="H95" s="8"/>
      <c r="I95" s="8"/>
      <c r="J95" s="8"/>
      <c r="K95" s="8"/>
      <c r="L95" s="8"/>
    </row>
    <row r="96" spans="4:12" x14ac:dyDescent="0.3">
      <c r="D96" s="8"/>
      <c r="E96" s="8"/>
      <c r="F96" s="8"/>
      <c r="G96" s="8"/>
      <c r="H96" s="8"/>
      <c r="I96" s="8"/>
      <c r="J96" s="8"/>
      <c r="K96" s="8"/>
      <c r="L96" s="8"/>
    </row>
    <row r="97" spans="4:12" x14ac:dyDescent="0.3">
      <c r="D97" s="8"/>
      <c r="E97" s="8"/>
      <c r="F97" s="8"/>
      <c r="G97" s="8"/>
      <c r="H97" s="8"/>
      <c r="I97" s="8"/>
      <c r="J97" s="8"/>
      <c r="K97" s="8"/>
      <c r="L97" s="8"/>
    </row>
    <row r="98" spans="4:12" x14ac:dyDescent="0.3">
      <c r="D98" s="8"/>
      <c r="E98" s="8"/>
      <c r="F98" s="8"/>
      <c r="G98" s="8"/>
      <c r="H98" s="8"/>
      <c r="I98" s="8"/>
      <c r="J98" s="8"/>
      <c r="K98" s="8"/>
      <c r="L98" s="8"/>
    </row>
    <row r="99" spans="4:12" x14ac:dyDescent="0.3">
      <c r="D99" s="8"/>
      <c r="E99" s="8"/>
      <c r="F99" s="8"/>
      <c r="G99" s="8"/>
      <c r="H99" s="8"/>
      <c r="I99" s="8"/>
      <c r="J99" s="8"/>
      <c r="K99" s="8"/>
      <c r="L99" s="8"/>
    </row>
    <row r="100" spans="4:12" x14ac:dyDescent="0.3">
      <c r="D100" s="8"/>
      <c r="E100" s="8"/>
      <c r="F100" s="8"/>
      <c r="G100" s="8"/>
      <c r="H100" s="8"/>
      <c r="I100" s="8"/>
      <c r="J100" s="8"/>
      <c r="K100" s="8"/>
      <c r="L100" s="8"/>
    </row>
    <row r="101" spans="4:12" x14ac:dyDescent="0.3">
      <c r="D101" s="8"/>
      <c r="E101" s="8"/>
      <c r="F101" s="8"/>
      <c r="G101" s="8"/>
      <c r="H101" s="8"/>
      <c r="I101" s="8"/>
      <c r="J101" s="8"/>
      <c r="K101" s="8"/>
      <c r="L101" s="8"/>
    </row>
    <row r="102" spans="4:12" x14ac:dyDescent="0.3">
      <c r="D102" s="8"/>
      <c r="E102" s="8"/>
      <c r="F102" s="8"/>
      <c r="G102" s="8"/>
      <c r="H102" s="8"/>
      <c r="I102" s="8"/>
      <c r="J102" s="8"/>
      <c r="K102" s="8"/>
      <c r="L102" s="8"/>
    </row>
    <row r="103" spans="4:12" x14ac:dyDescent="0.3">
      <c r="D103" s="8"/>
      <c r="E103" s="8"/>
      <c r="F103" s="8"/>
      <c r="G103" s="8"/>
      <c r="H103" s="8"/>
      <c r="I103" s="8"/>
      <c r="J103" s="8"/>
      <c r="K103" s="8"/>
      <c r="L103" s="8"/>
    </row>
    <row r="104" spans="4:12" x14ac:dyDescent="0.3">
      <c r="D104" s="8"/>
      <c r="E104" s="8"/>
      <c r="F104" s="8"/>
      <c r="G104" s="8"/>
      <c r="H104" s="8"/>
      <c r="I104" s="8"/>
      <c r="J104" s="8"/>
      <c r="K104" s="8"/>
      <c r="L104" s="8"/>
    </row>
    <row r="105" spans="4:12" x14ac:dyDescent="0.3">
      <c r="D105" s="8"/>
      <c r="E105" s="8"/>
      <c r="F105" s="8"/>
      <c r="G105" s="8"/>
      <c r="H105" s="8"/>
      <c r="I105" s="8"/>
      <c r="J105" s="8"/>
      <c r="K105" s="8"/>
      <c r="L105" s="8"/>
    </row>
  </sheetData>
  <pageMargins left="0.31496062992125984" right="0.19685039370078741" top="0.15748031496062992" bottom="0.15748031496062992" header="0.31496062992125984" footer="0.31496062992125984"/>
  <pageSetup paperSize="9" scale="65" orientation="landscape" r:id="rId1"/>
  <ignoredErrors>
    <ignoredError sqref="K14"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B1:O98"/>
  <sheetViews>
    <sheetView zoomScale="80" zoomScaleNormal="80" zoomScaleSheetLayoutView="100" workbookViewId="0">
      <selection activeCell="G14" sqref="G14"/>
    </sheetView>
  </sheetViews>
  <sheetFormatPr baseColWidth="10" defaultColWidth="10.77734375" defaultRowHeight="14.4" x14ac:dyDescent="0.3"/>
  <cols>
    <col min="3" max="3" width="46.109375" customWidth="1"/>
    <col min="4" max="15" width="10.6640625" customWidth="1"/>
  </cols>
  <sheetData>
    <row r="1" spans="2:15" s="1" customFormat="1" ht="15.6" x14ac:dyDescent="0.3">
      <c r="E1" s="133" t="s">
        <v>186</v>
      </c>
      <c r="F1" s="133"/>
      <c r="G1" s="133"/>
      <c r="H1" s="133"/>
    </row>
    <row r="2" spans="2:15" x14ac:dyDescent="0.3">
      <c r="B2" s="1" t="s">
        <v>82</v>
      </c>
      <c r="C2" s="1" t="s">
        <v>247</v>
      </c>
    </row>
    <row r="3" spans="2:15" s="1" customFormat="1" ht="15" thickBot="1" x14ac:dyDescent="0.35">
      <c r="G3" s="1" t="s">
        <v>26</v>
      </c>
    </row>
    <row r="4" spans="2:15" s="1" customFormat="1" ht="15" thickBot="1" x14ac:dyDescent="0.35">
      <c r="D4" s="149" t="s">
        <v>43</v>
      </c>
      <c r="E4" s="150"/>
      <c r="F4" s="150"/>
      <c r="G4" s="151"/>
      <c r="H4" s="149" t="s">
        <v>44</v>
      </c>
      <c r="I4" s="150"/>
      <c r="J4" s="150"/>
      <c r="K4" s="151"/>
      <c r="L4" s="149" t="s">
        <v>45</v>
      </c>
      <c r="M4" s="150"/>
      <c r="N4" s="150"/>
      <c r="O4" s="151"/>
    </row>
    <row r="5" spans="2:15" ht="15" thickBot="1" x14ac:dyDescent="0.35">
      <c r="B5" s="23" t="s">
        <v>0</v>
      </c>
      <c r="C5" s="37" t="s">
        <v>1</v>
      </c>
      <c r="D5" s="3" t="s">
        <v>83</v>
      </c>
      <c r="E5" s="4" t="s">
        <v>84</v>
      </c>
      <c r="F5" s="69" t="s">
        <v>85</v>
      </c>
      <c r="G5" s="71" t="s">
        <v>91</v>
      </c>
      <c r="H5" s="3" t="s">
        <v>86</v>
      </c>
      <c r="I5" s="5" t="s">
        <v>84</v>
      </c>
      <c r="J5" s="70" t="s">
        <v>85</v>
      </c>
      <c r="K5" s="71" t="s">
        <v>91</v>
      </c>
      <c r="L5" s="22" t="s">
        <v>86</v>
      </c>
      <c r="M5" s="5" t="s">
        <v>87</v>
      </c>
      <c r="N5" s="70" t="s">
        <v>88</v>
      </c>
      <c r="O5" s="71" t="s">
        <v>91</v>
      </c>
    </row>
    <row r="6" spans="2:15" s="2" customFormat="1" x14ac:dyDescent="0.3">
      <c r="B6" s="38">
        <v>60</v>
      </c>
      <c r="C6" s="38" t="s">
        <v>51</v>
      </c>
      <c r="D6" s="12">
        <f>SUM(D7:D13)</f>
        <v>15320000</v>
      </c>
      <c r="E6" s="13">
        <f t="shared" ref="E6:F6" si="0">SUM(E7:E13)</f>
        <v>7500000</v>
      </c>
      <c r="F6" s="13">
        <f>SUM(F7:F13)</f>
        <v>3600000</v>
      </c>
      <c r="G6" s="65">
        <f>SUM(D6:F6)</f>
        <v>26420000</v>
      </c>
      <c r="H6" s="12">
        <f>SUM(H7:H13)</f>
        <v>15320000</v>
      </c>
      <c r="I6" s="13">
        <f t="shared" ref="I6:J6" si="1">SUM(I7:I13)</f>
        <v>7500000</v>
      </c>
      <c r="J6" s="13">
        <f t="shared" si="1"/>
        <v>3600000</v>
      </c>
      <c r="K6" s="65">
        <f>SUM(H6:J6)</f>
        <v>26420000</v>
      </c>
      <c r="L6" s="12">
        <f>SUM(L7:L13)</f>
        <v>0</v>
      </c>
      <c r="M6" s="13">
        <f t="shared" ref="M6:N6" si="2">SUM(M7:M13)</f>
        <v>0</v>
      </c>
      <c r="N6" s="13">
        <f t="shared" si="2"/>
        <v>0</v>
      </c>
      <c r="O6" s="65">
        <f>SUM(L6:N6)</f>
        <v>0</v>
      </c>
    </row>
    <row r="7" spans="2:15" x14ac:dyDescent="0.3">
      <c r="B7" s="25">
        <v>6011</v>
      </c>
      <c r="C7" s="25" t="s">
        <v>52</v>
      </c>
      <c r="D7" s="14">
        <v>5100000</v>
      </c>
      <c r="E7" s="8">
        <v>5100000</v>
      </c>
      <c r="F7" s="8">
        <v>3600000</v>
      </c>
      <c r="G7" s="72"/>
      <c r="H7" s="14">
        <v>5100000</v>
      </c>
      <c r="I7" s="8">
        <v>5100000</v>
      </c>
      <c r="J7" s="8">
        <v>3600000</v>
      </c>
      <c r="K7" s="72"/>
      <c r="L7" s="12">
        <f>D7-H7</f>
        <v>0</v>
      </c>
      <c r="M7" s="8">
        <f>E7-I7</f>
        <v>0</v>
      </c>
      <c r="N7" s="8">
        <f>F7-J7</f>
        <v>0</v>
      </c>
      <c r="O7" s="72"/>
    </row>
    <row r="8" spans="2:15" x14ac:dyDescent="0.3">
      <c r="B8" s="25">
        <v>6012</v>
      </c>
      <c r="C8" s="25" t="s">
        <v>53</v>
      </c>
      <c r="D8" s="14">
        <v>0</v>
      </c>
      <c r="E8" s="8">
        <v>2400000</v>
      </c>
      <c r="F8" s="8">
        <v>0</v>
      </c>
      <c r="G8" s="72"/>
      <c r="H8" s="14">
        <v>0</v>
      </c>
      <c r="I8" s="8">
        <v>2400000</v>
      </c>
      <c r="J8" s="8">
        <v>0</v>
      </c>
      <c r="K8" s="72"/>
      <c r="L8" s="12">
        <f t="shared" ref="L8:L13" si="3">D8-H8</f>
        <v>0</v>
      </c>
      <c r="M8" s="8">
        <f t="shared" ref="M8:M13" si="4">E8-I8</f>
        <v>0</v>
      </c>
      <c r="N8" s="8">
        <f t="shared" ref="N8:N13" si="5">F8-J8</f>
        <v>0</v>
      </c>
      <c r="O8" s="72"/>
    </row>
    <row r="9" spans="2:15" x14ac:dyDescent="0.3">
      <c r="B9" s="25">
        <v>6021</v>
      </c>
      <c r="C9" s="25" t="s">
        <v>176</v>
      </c>
      <c r="D9" s="14">
        <v>0</v>
      </c>
      <c r="E9" s="8">
        <v>0</v>
      </c>
      <c r="F9" s="8">
        <v>0</v>
      </c>
      <c r="G9" s="72"/>
      <c r="H9" s="14">
        <v>0</v>
      </c>
      <c r="I9" s="8">
        <v>0</v>
      </c>
      <c r="J9" s="8">
        <v>0</v>
      </c>
      <c r="K9" s="72"/>
      <c r="L9" s="12">
        <f t="shared" si="3"/>
        <v>0</v>
      </c>
      <c r="M9" s="8"/>
      <c r="N9" s="8">
        <f t="shared" si="5"/>
        <v>0</v>
      </c>
      <c r="O9" s="72"/>
    </row>
    <row r="10" spans="2:15" x14ac:dyDescent="0.3">
      <c r="B10" s="25">
        <v>6031</v>
      </c>
      <c r="C10" s="25" t="s">
        <v>54</v>
      </c>
      <c r="D10" s="14">
        <v>0</v>
      </c>
      <c r="E10" s="8">
        <v>0</v>
      </c>
      <c r="F10" s="8">
        <v>0</v>
      </c>
      <c r="G10" s="72"/>
      <c r="H10" s="14">
        <v>0</v>
      </c>
      <c r="I10" s="8">
        <v>0</v>
      </c>
      <c r="J10" s="8">
        <v>0</v>
      </c>
      <c r="K10" s="72"/>
      <c r="L10" s="12">
        <f t="shared" si="3"/>
        <v>0</v>
      </c>
      <c r="M10" s="8">
        <f t="shared" si="4"/>
        <v>0</v>
      </c>
      <c r="N10" s="8">
        <f t="shared" si="5"/>
        <v>0</v>
      </c>
      <c r="O10" s="72"/>
    </row>
    <row r="11" spans="2:15" x14ac:dyDescent="0.3">
      <c r="B11" s="25">
        <v>6032</v>
      </c>
      <c r="C11" s="25" t="s">
        <v>55</v>
      </c>
      <c r="D11" s="14">
        <v>10220000</v>
      </c>
      <c r="E11" s="8">
        <v>0</v>
      </c>
      <c r="F11" s="8">
        <v>0</v>
      </c>
      <c r="G11" s="72"/>
      <c r="H11" s="14">
        <v>10220000</v>
      </c>
      <c r="I11" s="8">
        <v>0</v>
      </c>
      <c r="J11" s="8">
        <v>0</v>
      </c>
      <c r="K11" s="72"/>
      <c r="L11" s="12">
        <f t="shared" si="3"/>
        <v>0</v>
      </c>
      <c r="M11" s="8">
        <f t="shared" si="4"/>
        <v>0</v>
      </c>
      <c r="N11" s="8">
        <f t="shared" si="5"/>
        <v>0</v>
      </c>
      <c r="O11" s="72"/>
    </row>
    <row r="12" spans="2:15" x14ac:dyDescent="0.3">
      <c r="B12" s="25">
        <v>6061</v>
      </c>
      <c r="C12" s="25" t="s">
        <v>56</v>
      </c>
      <c r="D12" s="14">
        <v>0</v>
      </c>
      <c r="E12" s="8">
        <v>0</v>
      </c>
      <c r="F12" s="8">
        <v>0</v>
      </c>
      <c r="G12" s="72"/>
      <c r="H12" s="14">
        <v>0</v>
      </c>
      <c r="I12" s="8">
        <v>0</v>
      </c>
      <c r="J12" s="8">
        <v>0</v>
      </c>
      <c r="K12" s="72"/>
      <c r="L12" s="12">
        <f t="shared" si="3"/>
        <v>0</v>
      </c>
      <c r="M12" s="8">
        <f t="shared" si="4"/>
        <v>0</v>
      </c>
      <c r="N12" s="8">
        <f t="shared" si="5"/>
        <v>0</v>
      </c>
      <c r="O12" s="72"/>
    </row>
    <row r="13" spans="2:15" x14ac:dyDescent="0.3">
      <c r="B13" s="25">
        <v>6062</v>
      </c>
      <c r="C13" s="25" t="s">
        <v>57</v>
      </c>
      <c r="D13" s="14">
        <v>0</v>
      </c>
      <c r="E13" s="8">
        <v>0</v>
      </c>
      <c r="F13" s="8">
        <v>0</v>
      </c>
      <c r="G13" s="72"/>
      <c r="H13" s="14">
        <v>0</v>
      </c>
      <c r="I13" s="8">
        <v>0</v>
      </c>
      <c r="J13" s="8">
        <v>0</v>
      </c>
      <c r="K13" s="72"/>
      <c r="L13" s="12">
        <f t="shared" si="3"/>
        <v>0</v>
      </c>
      <c r="M13" s="8">
        <f t="shared" si="4"/>
        <v>0</v>
      </c>
      <c r="N13" s="8">
        <f t="shared" si="5"/>
        <v>0</v>
      </c>
      <c r="O13" s="72"/>
    </row>
    <row r="14" spans="2:15" s="2" customFormat="1" x14ac:dyDescent="0.3">
      <c r="B14" s="24">
        <v>61</v>
      </c>
      <c r="C14" s="24" t="s">
        <v>58</v>
      </c>
      <c r="D14" s="12">
        <f>SUM(D15:D20)</f>
        <v>1610000</v>
      </c>
      <c r="E14" s="12">
        <f t="shared" ref="E14:F14" si="6">SUM(E15:E20)</f>
        <v>2436000</v>
      </c>
      <c r="F14" s="12">
        <f t="shared" si="6"/>
        <v>0</v>
      </c>
      <c r="G14" s="12">
        <f>SUM(D14:F14)</f>
        <v>4046000</v>
      </c>
      <c r="H14" s="12">
        <f t="shared" ref="H14" si="7">SUM(H15:H20)</f>
        <v>1610000</v>
      </c>
      <c r="I14" s="12">
        <f t="shared" ref="I14" si="8">SUM(I15:I20)</f>
        <v>2436000</v>
      </c>
      <c r="J14" s="12">
        <f t="shared" ref="J14" si="9">SUM(J15:J20)</f>
        <v>0</v>
      </c>
      <c r="K14" s="12">
        <f>SUM(H14:J14)</f>
        <v>4046000</v>
      </c>
      <c r="L14" s="12">
        <f t="shared" ref="L14" si="10">SUM(L15:L20)</f>
        <v>0</v>
      </c>
      <c r="M14" s="12">
        <f>SUM(M15:M20)</f>
        <v>0</v>
      </c>
      <c r="N14" s="12">
        <f t="shared" ref="N14" si="11">SUM(N15:N20)</f>
        <v>0</v>
      </c>
      <c r="O14" s="65">
        <f>SUM(L14:N14)</f>
        <v>0</v>
      </c>
    </row>
    <row r="15" spans="2:15" x14ac:dyDescent="0.3">
      <c r="B15" s="25">
        <v>6111</v>
      </c>
      <c r="C15" s="25" t="s">
        <v>59</v>
      </c>
      <c r="D15" s="14">
        <v>300000</v>
      </c>
      <c r="E15" s="8">
        <v>389000</v>
      </c>
      <c r="F15" s="8">
        <v>0</v>
      </c>
      <c r="G15" s="72"/>
      <c r="H15" s="14">
        <v>300000</v>
      </c>
      <c r="I15" s="8">
        <v>389000</v>
      </c>
      <c r="J15" s="8">
        <v>0</v>
      </c>
      <c r="K15" s="72"/>
      <c r="L15" s="12">
        <f>D15-H15</f>
        <v>0</v>
      </c>
      <c r="M15" s="8">
        <f>E15-I15</f>
        <v>0</v>
      </c>
      <c r="N15" s="8">
        <f>F15-J15</f>
        <v>0</v>
      </c>
      <c r="O15" s="72"/>
    </row>
    <row r="16" spans="2:15" x14ac:dyDescent="0.3">
      <c r="B16" s="25">
        <v>6112</v>
      </c>
      <c r="C16" s="25" t="s">
        <v>60</v>
      </c>
      <c r="D16" s="14">
        <v>290000</v>
      </c>
      <c r="E16" s="8">
        <v>720000</v>
      </c>
      <c r="F16" s="8">
        <v>0</v>
      </c>
      <c r="G16" s="72"/>
      <c r="H16" s="14">
        <v>290000</v>
      </c>
      <c r="I16" s="8">
        <v>720000</v>
      </c>
      <c r="J16" s="8">
        <v>0</v>
      </c>
      <c r="K16" s="72"/>
      <c r="L16" s="12">
        <f t="shared" ref="L16:L33" si="12">D16-H16</f>
        <v>0</v>
      </c>
      <c r="M16" s="8">
        <f t="shared" ref="M16:M18" si="13">E16-I16</f>
        <v>0</v>
      </c>
      <c r="N16" s="8">
        <f t="shared" ref="N16:N20" si="14">F16-J16</f>
        <v>0</v>
      </c>
      <c r="O16" s="72"/>
    </row>
    <row r="17" spans="2:15" x14ac:dyDescent="0.3">
      <c r="B17" s="25">
        <v>6113</v>
      </c>
      <c r="C17" s="25" t="s">
        <v>61</v>
      </c>
      <c r="D17" s="14">
        <v>0</v>
      </c>
      <c r="E17" s="8">
        <v>0</v>
      </c>
      <c r="F17" s="8">
        <v>0</v>
      </c>
      <c r="G17" s="72"/>
      <c r="H17" s="14">
        <v>0</v>
      </c>
      <c r="I17" s="8">
        <v>0</v>
      </c>
      <c r="J17" s="8">
        <v>0</v>
      </c>
      <c r="K17" s="72"/>
      <c r="L17" s="12">
        <f t="shared" si="12"/>
        <v>0</v>
      </c>
      <c r="M17" s="8">
        <f t="shared" si="13"/>
        <v>0</v>
      </c>
      <c r="N17" s="8">
        <f t="shared" si="14"/>
        <v>0</v>
      </c>
      <c r="O17" s="72"/>
    </row>
    <row r="18" spans="2:15" x14ac:dyDescent="0.3">
      <c r="B18" s="25">
        <v>6114</v>
      </c>
      <c r="C18" s="25" t="s">
        <v>62</v>
      </c>
      <c r="D18" s="14">
        <v>0</v>
      </c>
      <c r="E18" s="8">
        <v>0</v>
      </c>
      <c r="F18" s="8">
        <v>0</v>
      </c>
      <c r="G18" s="72"/>
      <c r="H18" s="14">
        <v>0</v>
      </c>
      <c r="I18" s="8">
        <v>0</v>
      </c>
      <c r="J18" s="8">
        <v>0</v>
      </c>
      <c r="K18" s="72"/>
      <c r="L18" s="12">
        <f t="shared" si="12"/>
        <v>0</v>
      </c>
      <c r="M18" s="8">
        <f t="shared" si="13"/>
        <v>0</v>
      </c>
      <c r="N18" s="8">
        <f t="shared" si="14"/>
        <v>0</v>
      </c>
      <c r="O18" s="72"/>
    </row>
    <row r="19" spans="2:15" x14ac:dyDescent="0.3">
      <c r="B19" s="25">
        <v>6117</v>
      </c>
      <c r="C19" s="25" t="s">
        <v>63</v>
      </c>
      <c r="D19" s="14">
        <v>0</v>
      </c>
      <c r="E19" s="8">
        <v>412000</v>
      </c>
      <c r="F19" s="8">
        <v>0</v>
      </c>
      <c r="G19" s="72"/>
      <c r="H19" s="14">
        <v>0</v>
      </c>
      <c r="I19" s="8">
        <v>412000</v>
      </c>
      <c r="J19" s="8">
        <v>0</v>
      </c>
      <c r="K19" s="72"/>
      <c r="L19" s="12">
        <f t="shared" si="12"/>
        <v>0</v>
      </c>
      <c r="M19" s="8">
        <f>E19-I19</f>
        <v>0</v>
      </c>
      <c r="N19" s="8">
        <f t="shared" si="14"/>
        <v>0</v>
      </c>
      <c r="O19" s="72"/>
    </row>
    <row r="20" spans="2:15" x14ac:dyDescent="0.3">
      <c r="B20" s="25">
        <v>6131</v>
      </c>
      <c r="C20" s="25" t="s">
        <v>238</v>
      </c>
      <c r="D20" s="14">
        <v>1020000</v>
      </c>
      <c r="E20" s="8">
        <v>915000</v>
      </c>
      <c r="F20" s="8">
        <v>0</v>
      </c>
      <c r="G20" s="72"/>
      <c r="H20" s="14">
        <v>1020000</v>
      </c>
      <c r="I20" s="8">
        <v>915000</v>
      </c>
      <c r="J20" s="8">
        <v>0</v>
      </c>
      <c r="K20" s="72"/>
      <c r="L20" s="12">
        <f t="shared" si="12"/>
        <v>0</v>
      </c>
      <c r="M20" s="8">
        <f>E20-I20</f>
        <v>0</v>
      </c>
      <c r="N20" s="8">
        <f t="shared" si="14"/>
        <v>0</v>
      </c>
      <c r="O20" s="72"/>
    </row>
    <row r="21" spans="2:15" s="2" customFormat="1" x14ac:dyDescent="0.3">
      <c r="B21" s="24">
        <v>62</v>
      </c>
      <c r="C21" s="24" t="s">
        <v>67</v>
      </c>
      <c r="D21" s="12">
        <f>SUM(D22:D31)</f>
        <v>3367600</v>
      </c>
      <c r="E21" s="12">
        <f>SUM(E22:E31)</f>
        <v>7015600</v>
      </c>
      <c r="F21" s="12">
        <f>SUM(F22:F31)</f>
        <v>0</v>
      </c>
      <c r="G21" s="65">
        <f>SUM(D21:F21)</f>
        <v>10383200</v>
      </c>
      <c r="H21" s="12">
        <f>SUM(H22:H31)</f>
        <v>3367600</v>
      </c>
      <c r="I21" s="12">
        <f t="shared" ref="I21:J21" si="15">SUM(I22:I31)</f>
        <v>7015600</v>
      </c>
      <c r="J21" s="12">
        <f t="shared" si="15"/>
        <v>0</v>
      </c>
      <c r="K21" s="65">
        <f>SUM(H21:J21)</f>
        <v>10383200</v>
      </c>
      <c r="L21" s="12">
        <f>SUM(L22:L31)</f>
        <v>0</v>
      </c>
      <c r="M21" s="12">
        <f t="shared" ref="M21:N21" si="16">SUM(M22:M31)</f>
        <v>0</v>
      </c>
      <c r="N21" s="12">
        <f t="shared" si="16"/>
        <v>0</v>
      </c>
      <c r="O21" s="65">
        <f>SUM(L21:N21)</f>
        <v>0</v>
      </c>
    </row>
    <row r="22" spans="2:15" x14ac:dyDescent="0.3">
      <c r="B22" s="25">
        <v>6211</v>
      </c>
      <c r="C22" s="25" t="s">
        <v>64</v>
      </c>
      <c r="D22" s="14">
        <v>0</v>
      </c>
      <c r="E22" s="8">
        <v>0</v>
      </c>
      <c r="F22" s="8">
        <v>0</v>
      </c>
      <c r="G22" s="72"/>
      <c r="H22" s="14">
        <v>0</v>
      </c>
      <c r="I22" s="8">
        <v>0</v>
      </c>
      <c r="J22" s="8">
        <v>0</v>
      </c>
      <c r="K22" s="72"/>
      <c r="L22" s="12">
        <f t="shared" si="12"/>
        <v>0</v>
      </c>
      <c r="M22" s="8">
        <f>E22-I22</f>
        <v>0</v>
      </c>
      <c r="N22" s="8">
        <f>F22-J22</f>
        <v>0</v>
      </c>
      <c r="O22" s="72"/>
    </row>
    <row r="23" spans="2:15" x14ac:dyDescent="0.3">
      <c r="B23" s="25">
        <v>6213</v>
      </c>
      <c r="C23" s="25" t="s">
        <v>65</v>
      </c>
      <c r="D23" s="14">
        <v>0</v>
      </c>
      <c r="E23" s="8">
        <v>720000</v>
      </c>
      <c r="F23" s="8">
        <v>0</v>
      </c>
      <c r="G23" s="72"/>
      <c r="H23" s="14">
        <v>0</v>
      </c>
      <c r="I23" s="8">
        <v>720000</v>
      </c>
      <c r="J23" s="8">
        <v>0</v>
      </c>
      <c r="K23" s="72"/>
      <c r="L23" s="12">
        <f t="shared" si="12"/>
        <v>0</v>
      </c>
      <c r="M23" s="8">
        <f t="shared" ref="M23:M33" si="17">E23-I23</f>
        <v>0</v>
      </c>
      <c r="N23" s="8">
        <f t="shared" ref="N23:N30" si="18">F23-J23</f>
        <v>0</v>
      </c>
      <c r="O23" s="72"/>
    </row>
    <row r="24" spans="2:15" x14ac:dyDescent="0.3">
      <c r="B24" s="25">
        <v>6218</v>
      </c>
      <c r="C24" s="25" t="s">
        <v>66</v>
      </c>
      <c r="D24" s="14">
        <v>0</v>
      </c>
      <c r="E24" s="8">
        <v>0</v>
      </c>
      <c r="F24" s="8">
        <v>0</v>
      </c>
      <c r="G24" s="72"/>
      <c r="H24" s="14">
        <v>0</v>
      </c>
      <c r="I24" s="8">
        <v>0</v>
      </c>
      <c r="J24" s="8">
        <v>0</v>
      </c>
      <c r="K24" s="72"/>
      <c r="L24" s="12">
        <f t="shared" si="12"/>
        <v>0</v>
      </c>
      <c r="M24" s="8">
        <f t="shared" si="17"/>
        <v>0</v>
      </c>
      <c r="N24" s="8">
        <f t="shared" si="18"/>
        <v>0</v>
      </c>
      <c r="O24" s="72"/>
    </row>
    <row r="25" spans="2:15" x14ac:dyDescent="0.3">
      <c r="B25" s="25">
        <v>6221</v>
      </c>
      <c r="C25" s="25" t="s">
        <v>182</v>
      </c>
      <c r="D25" s="14">
        <v>0</v>
      </c>
      <c r="E25" s="8">
        <v>4000000</v>
      </c>
      <c r="F25" s="8">
        <v>0</v>
      </c>
      <c r="G25" s="72"/>
      <c r="H25" s="14">
        <v>0</v>
      </c>
      <c r="I25" s="8">
        <v>4000000</v>
      </c>
      <c r="J25" s="8">
        <v>0</v>
      </c>
      <c r="K25" s="72"/>
      <c r="L25" s="12">
        <f t="shared" si="12"/>
        <v>0</v>
      </c>
      <c r="M25" s="8">
        <f t="shared" si="17"/>
        <v>0</v>
      </c>
      <c r="N25" s="8">
        <f t="shared" si="18"/>
        <v>0</v>
      </c>
      <c r="O25" s="72"/>
    </row>
    <row r="26" spans="2:15" x14ac:dyDescent="0.3">
      <c r="B26" s="25">
        <v>6224</v>
      </c>
      <c r="C26" s="25" t="s">
        <v>177</v>
      </c>
      <c r="D26" s="14">
        <v>0</v>
      </c>
      <c r="E26" s="8">
        <v>600000</v>
      </c>
      <c r="F26" s="8">
        <v>0</v>
      </c>
      <c r="G26" s="72"/>
      <c r="H26" s="14">
        <v>0</v>
      </c>
      <c r="I26" s="8">
        <v>600000</v>
      </c>
      <c r="J26" s="8">
        <v>0</v>
      </c>
      <c r="K26" s="72"/>
      <c r="L26" s="12">
        <f t="shared" si="12"/>
        <v>0</v>
      </c>
      <c r="M26" s="8">
        <f t="shared" si="17"/>
        <v>0</v>
      </c>
      <c r="N26" s="8">
        <f t="shared" si="18"/>
        <v>0</v>
      </c>
      <c r="O26" s="72"/>
    </row>
    <row r="27" spans="2:15" x14ac:dyDescent="0.3">
      <c r="B27" s="25">
        <v>6231</v>
      </c>
      <c r="C27" s="25" t="s">
        <v>178</v>
      </c>
      <c r="D27" s="14">
        <v>700000</v>
      </c>
      <c r="E27" s="8">
        <v>900000</v>
      </c>
      <c r="F27" s="8">
        <v>0</v>
      </c>
      <c r="G27" s="72"/>
      <c r="H27" s="14">
        <v>700000</v>
      </c>
      <c r="I27" s="8">
        <v>900000</v>
      </c>
      <c r="J27" s="8">
        <v>0</v>
      </c>
      <c r="K27" s="72"/>
      <c r="L27" s="12">
        <f t="shared" si="12"/>
        <v>0</v>
      </c>
      <c r="M27" s="8">
        <f t="shared" si="17"/>
        <v>0</v>
      </c>
      <c r="N27" s="8">
        <f t="shared" si="18"/>
        <v>0</v>
      </c>
      <c r="O27" s="72"/>
    </row>
    <row r="28" spans="2:15" x14ac:dyDescent="0.3">
      <c r="B28" s="25">
        <v>6241</v>
      </c>
      <c r="C28" s="25" t="s">
        <v>179</v>
      </c>
      <c r="D28" s="14">
        <v>1600000</v>
      </c>
      <c r="E28" s="8">
        <v>470000</v>
      </c>
      <c r="F28" s="8">
        <v>0</v>
      </c>
      <c r="G28" s="72"/>
      <c r="H28" s="14">
        <v>1600000</v>
      </c>
      <c r="I28" s="8">
        <v>470000</v>
      </c>
      <c r="J28" s="8">
        <v>0</v>
      </c>
      <c r="K28" s="72"/>
      <c r="L28" s="12">
        <f t="shared" si="12"/>
        <v>0</v>
      </c>
      <c r="M28" s="8">
        <f t="shared" si="17"/>
        <v>0</v>
      </c>
      <c r="N28" s="8">
        <f t="shared" si="18"/>
        <v>0</v>
      </c>
      <c r="O28" s="72"/>
    </row>
    <row r="29" spans="2:15" x14ac:dyDescent="0.3">
      <c r="B29" s="25">
        <v>6243</v>
      </c>
      <c r="C29" s="25" t="s">
        <v>232</v>
      </c>
      <c r="D29" s="14"/>
      <c r="E29" s="8">
        <v>196000</v>
      </c>
      <c r="F29" s="8">
        <v>0</v>
      </c>
      <c r="G29" s="72"/>
      <c r="H29" s="14"/>
      <c r="I29" s="8">
        <v>196000</v>
      </c>
      <c r="J29" s="8">
        <v>0</v>
      </c>
      <c r="K29" s="72"/>
      <c r="L29" s="12"/>
      <c r="M29" s="8">
        <f t="shared" si="17"/>
        <v>0</v>
      </c>
      <c r="N29" s="8">
        <f t="shared" si="18"/>
        <v>0</v>
      </c>
      <c r="O29" s="72"/>
    </row>
    <row r="30" spans="2:15" x14ac:dyDescent="0.3">
      <c r="B30" s="25">
        <v>6263</v>
      </c>
      <c r="C30" s="25" t="s">
        <v>239</v>
      </c>
      <c r="D30" s="14">
        <v>920000</v>
      </c>
      <c r="E30" s="8">
        <v>0</v>
      </c>
      <c r="F30" s="8">
        <v>0</v>
      </c>
      <c r="G30" s="72"/>
      <c r="H30" s="14">
        <v>920000</v>
      </c>
      <c r="I30" s="8">
        <v>0</v>
      </c>
      <c r="J30" s="8">
        <v>0</v>
      </c>
      <c r="K30" s="72"/>
      <c r="L30" s="12"/>
      <c r="M30" s="8"/>
      <c r="N30" s="8">
        <f t="shared" si="18"/>
        <v>0</v>
      </c>
      <c r="O30" s="72"/>
    </row>
    <row r="31" spans="2:15" x14ac:dyDescent="0.3">
      <c r="B31" s="25">
        <v>6285</v>
      </c>
      <c r="C31" s="25" t="s">
        <v>184</v>
      </c>
      <c r="D31" s="14">
        <v>147600</v>
      </c>
      <c r="E31" s="8">
        <v>129600</v>
      </c>
      <c r="F31" s="8"/>
      <c r="G31" s="72"/>
      <c r="H31" s="14">
        <v>147600</v>
      </c>
      <c r="I31" s="8">
        <v>129600</v>
      </c>
      <c r="J31" s="8">
        <v>0</v>
      </c>
      <c r="K31" s="72"/>
      <c r="L31" s="12">
        <f t="shared" si="12"/>
        <v>0</v>
      </c>
      <c r="M31" s="8"/>
      <c r="N31" s="8"/>
      <c r="O31" s="72"/>
    </row>
    <row r="32" spans="2:15" x14ac:dyDescent="0.3">
      <c r="B32" s="24">
        <v>63</v>
      </c>
      <c r="C32" s="28" t="s">
        <v>180</v>
      </c>
      <c r="D32" s="12">
        <f>SUM(D33)</f>
        <v>0</v>
      </c>
      <c r="E32" s="12">
        <f t="shared" ref="E32:F32" si="19">SUM(E33)</f>
        <v>1000000</v>
      </c>
      <c r="F32" s="12">
        <f t="shared" si="19"/>
        <v>0</v>
      </c>
      <c r="G32" s="65">
        <f>SUM(D32:F32)</f>
        <v>1000000</v>
      </c>
      <c r="H32" s="19">
        <f>H33</f>
        <v>0</v>
      </c>
      <c r="I32" s="19">
        <f>I33</f>
        <v>1000000</v>
      </c>
      <c r="J32" s="14">
        <f t="shared" ref="I32:J32" si="20">J33</f>
        <v>0</v>
      </c>
      <c r="K32" s="65">
        <f>SUM(H32:J32)</f>
        <v>1000000</v>
      </c>
      <c r="L32" s="12">
        <f>SUM(L33)</f>
        <v>0</v>
      </c>
      <c r="M32" s="12">
        <f t="shared" ref="M32:N32" si="21">SUM(M33)</f>
        <v>0</v>
      </c>
      <c r="N32" s="12">
        <f t="shared" si="21"/>
        <v>0</v>
      </c>
      <c r="O32" s="65">
        <f>SUM(L33:N33)</f>
        <v>0</v>
      </c>
    </row>
    <row r="33" spans="2:15" ht="15" thickBot="1" x14ac:dyDescent="0.35">
      <c r="B33" s="25">
        <v>6310</v>
      </c>
      <c r="C33" s="25" t="s">
        <v>181</v>
      </c>
      <c r="D33" s="14">
        <v>0</v>
      </c>
      <c r="E33" s="8">
        <v>1000000</v>
      </c>
      <c r="F33" s="8">
        <v>0</v>
      </c>
      <c r="G33" s="72"/>
      <c r="H33" s="14"/>
      <c r="I33" s="8">
        <v>1000000</v>
      </c>
      <c r="J33" s="8"/>
      <c r="K33" s="72"/>
      <c r="L33" s="12">
        <f t="shared" si="12"/>
        <v>0</v>
      </c>
      <c r="M33" s="12">
        <f t="shared" si="17"/>
        <v>0</v>
      </c>
      <c r="N33" s="8"/>
      <c r="O33" s="72"/>
    </row>
    <row r="34" spans="2:15" s="2" customFormat="1" hidden="1" x14ac:dyDescent="0.3">
      <c r="B34" s="24">
        <v>65</v>
      </c>
      <c r="C34" s="110" t="s">
        <v>68</v>
      </c>
      <c r="D34" s="12">
        <f>D35</f>
        <v>0</v>
      </c>
      <c r="E34" s="13">
        <f t="shared" ref="E34:F34" si="22">E35</f>
        <v>0</v>
      </c>
      <c r="F34" s="13">
        <f t="shared" si="22"/>
        <v>0</v>
      </c>
      <c r="G34" s="65">
        <f>SUM(D34:F34)</f>
        <v>0</v>
      </c>
      <c r="H34" s="12">
        <f>H35</f>
        <v>0</v>
      </c>
      <c r="I34" s="13">
        <f t="shared" ref="I34:J34" si="23">I35</f>
        <v>0</v>
      </c>
      <c r="J34" s="13">
        <f t="shared" si="23"/>
        <v>0</v>
      </c>
      <c r="K34" s="65">
        <f>SUM(H34:J34)</f>
        <v>0</v>
      </c>
      <c r="L34" s="12">
        <f>L35</f>
        <v>0</v>
      </c>
      <c r="M34" s="13">
        <f t="shared" ref="M34:N34" si="24">M35</f>
        <v>0</v>
      </c>
      <c r="N34" s="13">
        <f t="shared" si="24"/>
        <v>0</v>
      </c>
      <c r="O34" s="65">
        <f>SUM(L34:N34)</f>
        <v>0</v>
      </c>
    </row>
    <row r="35" spans="2:15" s="6" customFormat="1" ht="15" hidden="1" thickBot="1" x14ac:dyDescent="0.35">
      <c r="B35" s="26">
        <v>6540</v>
      </c>
      <c r="C35" s="30" t="s">
        <v>69</v>
      </c>
      <c r="D35" s="15"/>
      <c r="E35" s="16"/>
      <c r="F35" s="16"/>
      <c r="G35" s="73"/>
      <c r="H35" s="15"/>
      <c r="I35" s="16"/>
      <c r="J35" s="16"/>
      <c r="K35" s="73"/>
      <c r="L35" s="12">
        <f>D35-H35</f>
        <v>0</v>
      </c>
      <c r="M35" s="16">
        <f>E35-I35</f>
        <v>0</v>
      </c>
      <c r="N35" s="16">
        <f>F35-J35</f>
        <v>0</v>
      </c>
      <c r="O35" s="73"/>
    </row>
    <row r="36" spans="2:15" s="2" customFormat="1" x14ac:dyDescent="0.3">
      <c r="B36" s="76"/>
      <c r="C36" s="76" t="s">
        <v>70</v>
      </c>
      <c r="D36" s="77">
        <f>D6+D14+D21+D32+D34</f>
        <v>20297600</v>
      </c>
      <c r="E36" s="77">
        <f t="shared" ref="E36:F36" si="25">E6+E14+E21+E32+E34</f>
        <v>17951600</v>
      </c>
      <c r="F36" s="77">
        <f t="shared" si="25"/>
        <v>3600000</v>
      </c>
      <c r="G36" s="64">
        <f>G6+G14+G21+G32+G34</f>
        <v>41849200</v>
      </c>
      <c r="H36" s="77">
        <f>H6+H14+H21+H32+H34</f>
        <v>20297600</v>
      </c>
      <c r="I36" s="77">
        <f t="shared" ref="I36:J36" si="26">I6+I14+I21+I32+I34</f>
        <v>17951600</v>
      </c>
      <c r="J36" s="77">
        <f t="shared" si="26"/>
        <v>3600000</v>
      </c>
      <c r="K36" s="64">
        <f>K6+K14+K21+K32+K34</f>
        <v>41849200</v>
      </c>
      <c r="L36" s="77">
        <f>L6+L14+L21+L34</f>
        <v>0</v>
      </c>
      <c r="M36" s="62">
        <f>M6+M14+M21+M34</f>
        <v>0</v>
      </c>
      <c r="N36" s="62">
        <f>N6+N14+N21+N34</f>
        <v>0</v>
      </c>
      <c r="O36" s="64">
        <f>O6+O14+O21+O34</f>
        <v>0</v>
      </c>
    </row>
    <row r="37" spans="2:15" x14ac:dyDescent="0.3">
      <c r="B37" s="25"/>
      <c r="C37" s="25" t="s">
        <v>71</v>
      </c>
      <c r="D37" s="14"/>
      <c r="E37" s="8"/>
      <c r="F37" s="8"/>
      <c r="G37" s="72"/>
      <c r="H37" s="14"/>
      <c r="I37" s="8"/>
      <c r="J37" s="8"/>
      <c r="K37" s="72"/>
      <c r="L37" s="12"/>
      <c r="M37" s="8"/>
      <c r="N37" s="8"/>
      <c r="O37" s="72"/>
    </row>
    <row r="38" spans="2:15" s="1" customFormat="1" ht="15" thickBot="1" x14ac:dyDescent="0.35">
      <c r="B38" s="29"/>
      <c r="C38" s="29" t="s">
        <v>72</v>
      </c>
      <c r="D38" s="20">
        <f>+D36+D37</f>
        <v>20297600</v>
      </c>
      <c r="E38" s="21">
        <f t="shared" ref="E38:O38" si="27">+E36+E37</f>
        <v>17951600</v>
      </c>
      <c r="F38" s="21">
        <f t="shared" si="27"/>
        <v>3600000</v>
      </c>
      <c r="G38" s="74">
        <f>+G36+G37</f>
        <v>41849200</v>
      </c>
      <c r="H38" s="20">
        <f t="shared" si="27"/>
        <v>20297600</v>
      </c>
      <c r="I38" s="21">
        <f t="shared" si="27"/>
        <v>17951600</v>
      </c>
      <c r="J38" s="21">
        <f t="shared" si="27"/>
        <v>3600000</v>
      </c>
      <c r="K38" s="74">
        <f t="shared" si="27"/>
        <v>41849200</v>
      </c>
      <c r="L38" s="20">
        <f t="shared" si="27"/>
        <v>0</v>
      </c>
      <c r="M38" s="21">
        <f t="shared" si="27"/>
        <v>0</v>
      </c>
      <c r="N38" s="21">
        <f t="shared" si="27"/>
        <v>0</v>
      </c>
      <c r="O38" s="74">
        <f t="shared" si="27"/>
        <v>0</v>
      </c>
    </row>
    <row r="39" spans="2:15" x14ac:dyDescent="0.3">
      <c r="B39" s="25"/>
      <c r="C39" s="25"/>
      <c r="D39" s="14"/>
      <c r="E39" s="8"/>
      <c r="F39" s="8"/>
      <c r="G39" s="31"/>
      <c r="H39" s="14"/>
      <c r="I39" s="8"/>
      <c r="J39" s="8"/>
      <c r="K39" s="75"/>
      <c r="L39" s="14"/>
      <c r="M39" s="8"/>
      <c r="N39" s="8"/>
      <c r="O39" s="75"/>
    </row>
    <row r="40" spans="2:15" s="1" customFormat="1" ht="15" thickBot="1" x14ac:dyDescent="0.35">
      <c r="B40" s="28"/>
      <c r="C40" s="28"/>
      <c r="D40" s="19"/>
      <c r="E40" s="11"/>
      <c r="F40" s="11"/>
      <c r="G40" s="39" t="s">
        <v>27</v>
      </c>
      <c r="H40" s="19"/>
      <c r="I40" s="11"/>
      <c r="J40" s="11"/>
      <c r="K40" s="39"/>
      <c r="L40" s="19"/>
      <c r="M40" s="11"/>
      <c r="N40" s="11"/>
      <c r="O40" s="39"/>
    </row>
    <row r="41" spans="2:15" ht="15" thickBot="1" x14ac:dyDescent="0.35">
      <c r="B41" s="23" t="s">
        <v>0</v>
      </c>
      <c r="C41" s="23" t="s">
        <v>1</v>
      </c>
      <c r="D41" s="78" t="s">
        <v>83</v>
      </c>
      <c r="E41" s="79" t="s">
        <v>84</v>
      </c>
      <c r="F41" s="80" t="s">
        <v>85</v>
      </c>
      <c r="G41" s="81" t="s">
        <v>91</v>
      </c>
      <c r="H41" s="78" t="s">
        <v>86</v>
      </c>
      <c r="I41" s="82" t="s">
        <v>84</v>
      </c>
      <c r="J41" s="82" t="s">
        <v>85</v>
      </c>
      <c r="K41" s="81" t="s">
        <v>91</v>
      </c>
      <c r="L41" s="83" t="s">
        <v>86</v>
      </c>
      <c r="M41" s="84" t="s">
        <v>87</v>
      </c>
      <c r="N41" s="84" t="s">
        <v>88</v>
      </c>
      <c r="O41" s="85" t="s">
        <v>91</v>
      </c>
    </row>
    <row r="42" spans="2:15" s="2" customFormat="1" x14ac:dyDescent="0.3">
      <c r="B42" s="24">
        <v>16</v>
      </c>
      <c r="C42" s="24" t="s">
        <v>73</v>
      </c>
      <c r="D42" s="12">
        <f>D43</f>
        <v>0</v>
      </c>
      <c r="E42" s="13">
        <f t="shared" ref="E42:F42" si="28">E43</f>
        <v>0</v>
      </c>
      <c r="F42" s="13">
        <f t="shared" si="28"/>
        <v>0</v>
      </c>
      <c r="G42" s="65">
        <f>SUM(D42:F42)</f>
        <v>0</v>
      </c>
      <c r="H42" s="12">
        <f>H43</f>
        <v>0</v>
      </c>
      <c r="I42" s="13">
        <f t="shared" ref="I42:J42" si="29">I43</f>
        <v>0</v>
      </c>
      <c r="J42" s="13">
        <f t="shared" si="29"/>
        <v>0</v>
      </c>
      <c r="K42" s="65">
        <f>SUM(H42:J42)</f>
        <v>0</v>
      </c>
      <c r="L42" s="12">
        <f>L43</f>
        <v>0</v>
      </c>
      <c r="M42" s="13">
        <f t="shared" ref="M42:N42" si="30">M43</f>
        <v>0</v>
      </c>
      <c r="N42" s="13">
        <f t="shared" si="30"/>
        <v>0</v>
      </c>
      <c r="O42" s="65">
        <f>SUM(L42:N42)</f>
        <v>0</v>
      </c>
    </row>
    <row r="43" spans="2:15" x14ac:dyDescent="0.3">
      <c r="B43" s="25"/>
      <c r="C43" s="25"/>
      <c r="D43" s="14"/>
      <c r="E43" s="8"/>
      <c r="F43" s="8"/>
      <c r="G43" s="72"/>
      <c r="H43" s="14"/>
      <c r="I43" s="8"/>
      <c r="J43" s="8"/>
      <c r="K43" s="72"/>
      <c r="L43" s="12"/>
      <c r="M43" s="8"/>
      <c r="N43" s="8"/>
      <c r="O43" s="72"/>
    </row>
    <row r="44" spans="2:15" s="2" customFormat="1" x14ac:dyDescent="0.3">
      <c r="B44" s="24">
        <v>20</v>
      </c>
      <c r="C44" s="24" t="s">
        <v>74</v>
      </c>
      <c r="D44" s="12">
        <f>D45</f>
        <v>0</v>
      </c>
      <c r="E44" s="13">
        <f t="shared" ref="E44:F44" si="31">E45</f>
        <v>0</v>
      </c>
      <c r="F44" s="13">
        <f t="shared" si="31"/>
        <v>0</v>
      </c>
      <c r="G44" s="65">
        <f>SUM(D44:F44)</f>
        <v>0</v>
      </c>
      <c r="H44" s="12">
        <f>H45</f>
        <v>0</v>
      </c>
      <c r="I44" s="13">
        <f t="shared" ref="I44:J44" si="32">I45</f>
        <v>0</v>
      </c>
      <c r="J44" s="13">
        <f t="shared" si="32"/>
        <v>0</v>
      </c>
      <c r="K44" s="65">
        <f>SUM(H44:J44)</f>
        <v>0</v>
      </c>
      <c r="L44" s="12">
        <f>L45</f>
        <v>0</v>
      </c>
      <c r="M44" s="13">
        <f t="shared" ref="M44:N44" si="33">M45</f>
        <v>0</v>
      </c>
      <c r="N44" s="13">
        <f t="shared" si="33"/>
        <v>0</v>
      </c>
      <c r="O44" s="65">
        <f>SUM(L44:N44)</f>
        <v>0</v>
      </c>
    </row>
    <row r="45" spans="2:15" hidden="1" x14ac:dyDescent="0.3">
      <c r="B45" s="25">
        <v>2014</v>
      </c>
      <c r="C45" s="25" t="s">
        <v>75</v>
      </c>
      <c r="D45" s="14"/>
      <c r="E45" s="8"/>
      <c r="F45" s="8"/>
      <c r="G45" s="72"/>
      <c r="H45" s="14"/>
      <c r="I45" s="8"/>
      <c r="J45" s="8"/>
      <c r="K45" s="72"/>
      <c r="L45" s="12"/>
      <c r="M45" s="8"/>
      <c r="N45" s="8"/>
      <c r="O45" s="72"/>
    </row>
    <row r="46" spans="2:15" s="2" customFormat="1" x14ac:dyDescent="0.3">
      <c r="B46" s="24">
        <v>21</v>
      </c>
      <c r="C46" s="24" t="s">
        <v>76</v>
      </c>
      <c r="D46" s="12">
        <f>SUM(D47:D52)</f>
        <v>700000</v>
      </c>
      <c r="E46" s="12">
        <f t="shared" ref="E46:F46" si="34">SUM(E47:E52)</f>
        <v>1500000</v>
      </c>
      <c r="F46" s="12">
        <f t="shared" si="34"/>
        <v>0</v>
      </c>
      <c r="G46" s="65">
        <f>SUM(D46:F46)</f>
        <v>2200000</v>
      </c>
      <c r="H46" s="12">
        <f>SUM(H47:H52)</f>
        <v>700000</v>
      </c>
      <c r="I46" s="12">
        <f t="shared" ref="I46:J46" si="35">SUM(I47:I52)</f>
        <v>1500000</v>
      </c>
      <c r="J46" s="12">
        <f t="shared" si="35"/>
        <v>0</v>
      </c>
      <c r="K46" s="65">
        <f>SUM(H46:J46)</f>
        <v>2200000</v>
      </c>
      <c r="L46" s="12">
        <f>SUM(L47:L52)</f>
        <v>0</v>
      </c>
      <c r="M46" s="12">
        <f t="shared" ref="M46:N46" si="36">SUM(M47:M52)</f>
        <v>0</v>
      </c>
      <c r="N46" s="12">
        <f t="shared" si="36"/>
        <v>0</v>
      </c>
      <c r="O46" s="65">
        <f>SUM(L46:N46)</f>
        <v>0</v>
      </c>
    </row>
    <row r="47" spans="2:15" s="2" customFormat="1" x14ac:dyDescent="0.3">
      <c r="B47" s="26">
        <v>2141</v>
      </c>
      <c r="C47" s="30" t="s">
        <v>165</v>
      </c>
      <c r="D47" s="12"/>
      <c r="E47" s="111"/>
      <c r="F47" s="13"/>
      <c r="G47" s="65"/>
      <c r="H47" s="12"/>
      <c r="I47" s="111"/>
      <c r="J47" s="13"/>
      <c r="K47" s="65"/>
      <c r="L47" s="12"/>
      <c r="M47" s="13"/>
      <c r="N47" s="13"/>
      <c r="O47" s="65"/>
    </row>
    <row r="48" spans="2:15" hidden="1" x14ac:dyDescent="0.3">
      <c r="B48" s="25">
        <v>2131</v>
      </c>
      <c r="C48" s="25" t="s">
        <v>77</v>
      </c>
      <c r="D48" s="14"/>
      <c r="E48" s="8"/>
      <c r="F48" s="8"/>
      <c r="G48" s="72"/>
      <c r="H48" s="14"/>
      <c r="I48" s="8"/>
      <c r="J48" s="8"/>
      <c r="K48" s="72"/>
      <c r="L48" s="12"/>
      <c r="M48" s="8"/>
      <c r="N48" s="8"/>
      <c r="O48" s="72"/>
    </row>
    <row r="49" spans="2:15" x14ac:dyDescent="0.3">
      <c r="B49" s="25">
        <v>2163</v>
      </c>
      <c r="C49" s="25" t="s">
        <v>78</v>
      </c>
      <c r="D49" s="14"/>
      <c r="E49" s="8"/>
      <c r="F49" s="8"/>
      <c r="G49" s="72"/>
      <c r="H49" s="14"/>
      <c r="I49" s="8"/>
      <c r="J49" s="8"/>
      <c r="K49" s="72"/>
      <c r="L49" s="12"/>
      <c r="M49" s="8"/>
      <c r="N49" s="8"/>
      <c r="O49" s="72"/>
    </row>
    <row r="50" spans="2:15" x14ac:dyDescent="0.3">
      <c r="B50" s="25">
        <v>2164</v>
      </c>
      <c r="C50" s="25" t="s">
        <v>240</v>
      </c>
      <c r="D50" s="14">
        <v>700000</v>
      </c>
      <c r="E50" s="8"/>
      <c r="F50" s="8"/>
      <c r="G50" s="72"/>
      <c r="H50" s="14">
        <v>700000</v>
      </c>
      <c r="I50" s="8"/>
      <c r="J50" s="8"/>
      <c r="K50" s="72"/>
      <c r="L50" s="12"/>
      <c r="M50" s="8"/>
      <c r="N50" s="8"/>
      <c r="O50" s="72"/>
    </row>
    <row r="51" spans="2:15" x14ac:dyDescent="0.3">
      <c r="B51" s="25">
        <v>2151</v>
      </c>
      <c r="C51" s="25" t="s">
        <v>235</v>
      </c>
      <c r="D51" s="14"/>
      <c r="E51" s="8">
        <v>1500000</v>
      </c>
      <c r="F51" s="8"/>
      <c r="G51" s="72"/>
      <c r="H51" s="14"/>
      <c r="I51" s="8">
        <v>1500000</v>
      </c>
      <c r="J51" s="8"/>
      <c r="K51" s="72"/>
      <c r="L51" s="12"/>
      <c r="M51" s="8"/>
      <c r="N51" s="8"/>
      <c r="O51" s="72"/>
    </row>
    <row r="52" spans="2:15" x14ac:dyDescent="0.3">
      <c r="B52" s="25">
        <v>2166</v>
      </c>
      <c r="C52" s="25" t="s">
        <v>183</v>
      </c>
      <c r="D52" s="14"/>
      <c r="E52" s="8"/>
      <c r="F52" s="8"/>
      <c r="G52" s="72"/>
      <c r="H52" s="14"/>
      <c r="I52" s="8"/>
      <c r="J52" s="8"/>
      <c r="K52" s="72"/>
      <c r="L52" s="12"/>
      <c r="M52" s="8"/>
      <c r="N52" s="8"/>
      <c r="O52" s="72"/>
    </row>
    <row r="53" spans="2:15" s="1" customFormat="1" x14ac:dyDescent="0.3">
      <c r="B53" s="28"/>
      <c r="C53" s="28" t="s">
        <v>79</v>
      </c>
      <c r="D53" s="19">
        <f>D42+D44+D46</f>
        <v>700000</v>
      </c>
      <c r="E53" s="11">
        <f t="shared" ref="E53:O53" si="37">E42+E44+E46</f>
        <v>1500000</v>
      </c>
      <c r="F53" s="11">
        <f t="shared" si="37"/>
        <v>0</v>
      </c>
      <c r="G53" s="66">
        <f t="shared" si="37"/>
        <v>2200000</v>
      </c>
      <c r="H53" s="19">
        <f t="shared" si="37"/>
        <v>700000</v>
      </c>
      <c r="I53" s="11">
        <f t="shared" si="37"/>
        <v>1500000</v>
      </c>
      <c r="J53" s="11">
        <f t="shared" si="37"/>
        <v>0</v>
      </c>
      <c r="K53" s="66">
        <f t="shared" si="37"/>
        <v>2200000</v>
      </c>
      <c r="L53" s="19">
        <f t="shared" si="37"/>
        <v>0</v>
      </c>
      <c r="M53" s="11">
        <f t="shared" si="37"/>
        <v>0</v>
      </c>
      <c r="N53" s="11">
        <f t="shared" si="37"/>
        <v>0</v>
      </c>
      <c r="O53" s="66">
        <f t="shared" si="37"/>
        <v>0</v>
      </c>
    </row>
    <row r="54" spans="2:15" s="2" customFormat="1" x14ac:dyDescent="0.3">
      <c r="B54" s="24">
        <v>20</v>
      </c>
      <c r="C54" s="24" t="s">
        <v>74</v>
      </c>
      <c r="D54" s="12"/>
      <c r="E54" s="13"/>
      <c r="F54" s="13"/>
      <c r="G54" s="65"/>
      <c r="H54" s="12"/>
      <c r="I54" s="13"/>
      <c r="J54" s="13"/>
      <c r="K54" s="65"/>
      <c r="L54" s="12"/>
      <c r="M54" s="13"/>
      <c r="N54" s="13"/>
      <c r="O54" s="65"/>
    </row>
    <row r="55" spans="2:15" s="2" customFormat="1" x14ac:dyDescent="0.3">
      <c r="B55" s="24">
        <v>21</v>
      </c>
      <c r="C55" s="24" t="s">
        <v>76</v>
      </c>
      <c r="D55" s="12"/>
      <c r="E55" s="13"/>
      <c r="F55" s="13"/>
      <c r="G55" s="65"/>
      <c r="H55" s="12"/>
      <c r="I55" s="13"/>
      <c r="J55" s="13"/>
      <c r="K55" s="65"/>
      <c r="L55" s="12"/>
      <c r="M55" s="13"/>
      <c r="N55" s="13"/>
      <c r="O55" s="65"/>
    </row>
    <row r="56" spans="2:15" s="1" customFormat="1" x14ac:dyDescent="0.3">
      <c r="B56" s="28"/>
      <c r="C56" s="28" t="s">
        <v>80</v>
      </c>
      <c r="D56" s="19">
        <f>D54+D55</f>
        <v>0</v>
      </c>
      <c r="E56" s="11">
        <f t="shared" ref="E56:O56" si="38">E54+E55</f>
        <v>0</v>
      </c>
      <c r="F56" s="11">
        <f t="shared" si="38"/>
        <v>0</v>
      </c>
      <c r="G56" s="66">
        <f t="shared" si="38"/>
        <v>0</v>
      </c>
      <c r="H56" s="19">
        <f t="shared" si="38"/>
        <v>0</v>
      </c>
      <c r="I56" s="11">
        <f t="shared" si="38"/>
        <v>0</v>
      </c>
      <c r="J56" s="11">
        <f t="shared" si="38"/>
        <v>0</v>
      </c>
      <c r="K56" s="66">
        <f t="shared" si="38"/>
        <v>0</v>
      </c>
      <c r="L56" s="19">
        <f t="shared" si="38"/>
        <v>0</v>
      </c>
      <c r="M56" s="11">
        <f t="shared" si="38"/>
        <v>0</v>
      </c>
      <c r="N56" s="11">
        <f t="shared" si="38"/>
        <v>0</v>
      </c>
      <c r="O56" s="66">
        <f t="shared" si="38"/>
        <v>0</v>
      </c>
    </row>
    <row r="57" spans="2:15" s="1" customFormat="1" ht="15" thickBot="1" x14ac:dyDescent="0.35">
      <c r="B57" s="29"/>
      <c r="C57" s="29" t="s">
        <v>81</v>
      </c>
      <c r="D57" s="20">
        <f>D53+D56</f>
        <v>700000</v>
      </c>
      <c r="E57" s="21">
        <f t="shared" ref="E57:O57" si="39">E53+E56</f>
        <v>1500000</v>
      </c>
      <c r="F57" s="21">
        <f t="shared" si="39"/>
        <v>0</v>
      </c>
      <c r="G57" s="74">
        <f t="shared" si="39"/>
        <v>2200000</v>
      </c>
      <c r="H57" s="20">
        <f t="shared" si="39"/>
        <v>700000</v>
      </c>
      <c r="I57" s="21">
        <f t="shared" si="39"/>
        <v>1500000</v>
      </c>
      <c r="J57" s="21">
        <f t="shared" si="39"/>
        <v>0</v>
      </c>
      <c r="K57" s="74">
        <f t="shared" si="39"/>
        <v>2200000</v>
      </c>
      <c r="L57" s="20">
        <f t="shared" si="39"/>
        <v>0</v>
      </c>
      <c r="M57" s="21">
        <f t="shared" si="39"/>
        <v>0</v>
      </c>
      <c r="N57" s="21">
        <f t="shared" si="39"/>
        <v>0</v>
      </c>
      <c r="O57" s="74">
        <f t="shared" si="39"/>
        <v>0</v>
      </c>
    </row>
    <row r="58" spans="2:15" x14ac:dyDescent="0.3">
      <c r="D58" s="8"/>
      <c r="E58" s="8"/>
      <c r="F58" s="8"/>
      <c r="G58" s="8"/>
      <c r="H58" s="8"/>
      <c r="I58" s="8"/>
      <c r="J58" s="8"/>
      <c r="K58" s="8"/>
      <c r="L58" s="8"/>
    </row>
    <row r="59" spans="2:15" x14ac:dyDescent="0.3">
      <c r="D59" s="8"/>
      <c r="E59" s="8"/>
      <c r="F59" s="8"/>
      <c r="G59" s="8"/>
      <c r="H59" s="8"/>
      <c r="I59" s="8"/>
      <c r="J59" s="8"/>
      <c r="K59" s="8"/>
      <c r="L59" s="8"/>
    </row>
    <row r="60" spans="2:15" x14ac:dyDescent="0.3">
      <c r="D60" s="8"/>
      <c r="E60" s="8"/>
      <c r="F60" s="8"/>
      <c r="G60" s="8"/>
      <c r="H60" s="8"/>
      <c r="I60" s="8"/>
      <c r="J60" s="8"/>
      <c r="K60" s="8"/>
      <c r="L60" s="8"/>
    </row>
    <row r="61" spans="2:15" x14ac:dyDescent="0.3">
      <c r="D61" s="8"/>
      <c r="E61" s="8"/>
      <c r="F61" s="8"/>
      <c r="G61" s="8"/>
      <c r="H61" s="8"/>
      <c r="I61" s="8"/>
      <c r="J61" s="8"/>
      <c r="K61" s="8"/>
      <c r="L61" s="8"/>
    </row>
    <row r="62" spans="2:15" x14ac:dyDescent="0.3">
      <c r="D62" s="8"/>
      <c r="E62" s="8"/>
      <c r="F62" s="8"/>
      <c r="G62" s="8"/>
      <c r="H62" s="8"/>
      <c r="I62" s="8"/>
      <c r="J62" s="8"/>
      <c r="K62" s="8"/>
      <c r="L62" s="8"/>
    </row>
    <row r="63" spans="2:15" x14ac:dyDescent="0.3">
      <c r="D63" s="8"/>
      <c r="E63" s="8"/>
      <c r="F63" s="8"/>
      <c r="G63" s="8"/>
      <c r="H63" s="8"/>
      <c r="I63" s="8"/>
      <c r="J63" s="8"/>
      <c r="K63" s="8"/>
      <c r="L63" s="8"/>
    </row>
    <row r="64" spans="2:15" x14ac:dyDescent="0.3">
      <c r="D64" s="8"/>
      <c r="E64" s="8"/>
      <c r="F64" s="8"/>
      <c r="G64" s="8"/>
      <c r="H64" s="8"/>
      <c r="I64" s="8"/>
      <c r="J64" s="8"/>
      <c r="K64" s="8"/>
      <c r="L64" s="8"/>
    </row>
    <row r="65" spans="4:12" x14ac:dyDescent="0.3">
      <c r="D65" s="8"/>
      <c r="E65" s="8"/>
      <c r="F65" s="8"/>
      <c r="G65" s="8"/>
      <c r="H65" s="8"/>
      <c r="I65" s="8"/>
      <c r="J65" s="8"/>
      <c r="K65" s="8"/>
      <c r="L65" s="8"/>
    </row>
    <row r="66" spans="4:12" x14ac:dyDescent="0.3">
      <c r="D66" s="8"/>
      <c r="E66" s="8"/>
      <c r="F66" s="8"/>
      <c r="G66" s="8"/>
      <c r="H66" s="8"/>
      <c r="I66" s="8"/>
      <c r="J66" s="8"/>
      <c r="K66" s="8"/>
      <c r="L66" s="8"/>
    </row>
    <row r="67" spans="4:12" x14ac:dyDescent="0.3">
      <c r="D67" s="8"/>
      <c r="E67" s="8"/>
      <c r="F67" s="8"/>
      <c r="G67" s="8"/>
      <c r="H67" s="8"/>
      <c r="I67" s="8"/>
      <c r="J67" s="8"/>
      <c r="K67" s="8"/>
      <c r="L67" s="8"/>
    </row>
    <row r="68" spans="4:12" x14ac:dyDescent="0.3">
      <c r="D68" s="8"/>
      <c r="E68" s="8"/>
      <c r="F68" s="8"/>
      <c r="G68" s="8"/>
      <c r="H68" s="8"/>
      <c r="I68" s="8"/>
      <c r="J68" s="8"/>
      <c r="K68" s="8"/>
      <c r="L68" s="8"/>
    </row>
    <row r="69" spans="4:12" x14ac:dyDescent="0.3">
      <c r="D69" s="8"/>
      <c r="E69" s="8"/>
      <c r="F69" s="8"/>
      <c r="G69" s="8"/>
      <c r="H69" s="8"/>
      <c r="I69" s="8"/>
      <c r="J69" s="8"/>
      <c r="K69" s="8"/>
      <c r="L69" s="8"/>
    </row>
    <row r="70" spans="4:12" x14ac:dyDescent="0.3">
      <c r="D70" s="8"/>
      <c r="E70" s="8"/>
      <c r="F70" s="8"/>
      <c r="G70" s="8"/>
      <c r="H70" s="8"/>
      <c r="I70" s="8"/>
      <c r="J70" s="8"/>
      <c r="K70" s="8"/>
      <c r="L70" s="8"/>
    </row>
    <row r="71" spans="4:12" x14ac:dyDescent="0.3">
      <c r="D71" s="8"/>
      <c r="E71" s="8"/>
      <c r="F71" s="8"/>
      <c r="G71" s="8"/>
      <c r="H71" s="8"/>
      <c r="I71" s="8"/>
      <c r="J71" s="8"/>
      <c r="K71" s="8"/>
      <c r="L71" s="8"/>
    </row>
    <row r="72" spans="4:12" x14ac:dyDescent="0.3">
      <c r="D72" s="8"/>
      <c r="E72" s="8"/>
      <c r="F72" s="8"/>
      <c r="G72" s="8"/>
      <c r="H72" s="8"/>
      <c r="I72" s="8"/>
      <c r="J72" s="8"/>
      <c r="K72" s="8"/>
      <c r="L72" s="8"/>
    </row>
    <row r="73" spans="4:12" x14ac:dyDescent="0.3">
      <c r="D73" s="8"/>
      <c r="E73" s="8"/>
      <c r="F73" s="8"/>
      <c r="G73" s="8"/>
      <c r="H73" s="8"/>
      <c r="I73" s="8"/>
      <c r="J73" s="8"/>
      <c r="K73" s="8"/>
      <c r="L73" s="8"/>
    </row>
    <row r="74" spans="4:12" x14ac:dyDescent="0.3">
      <c r="D74" s="8"/>
      <c r="E74" s="8"/>
      <c r="F74" s="8"/>
      <c r="G74" s="8"/>
      <c r="H74" s="8"/>
      <c r="I74" s="8"/>
      <c r="J74" s="8"/>
      <c r="K74" s="8"/>
      <c r="L74" s="8"/>
    </row>
    <row r="75" spans="4:12" x14ac:dyDescent="0.3">
      <c r="D75" s="8"/>
      <c r="E75" s="8"/>
      <c r="F75" s="8"/>
      <c r="G75" s="8"/>
      <c r="H75" s="8"/>
      <c r="I75" s="8"/>
      <c r="J75" s="8"/>
      <c r="K75" s="8"/>
      <c r="L75" s="8"/>
    </row>
    <row r="76" spans="4:12" x14ac:dyDescent="0.3">
      <c r="D76" s="8"/>
      <c r="E76" s="8"/>
      <c r="F76" s="8"/>
      <c r="G76" s="8"/>
      <c r="H76" s="8"/>
      <c r="I76" s="8"/>
      <c r="J76" s="8"/>
      <c r="K76" s="8"/>
      <c r="L76" s="8"/>
    </row>
    <row r="77" spans="4:12" x14ac:dyDescent="0.3">
      <c r="D77" s="8"/>
      <c r="E77" s="8"/>
      <c r="F77" s="8"/>
      <c r="G77" s="8"/>
      <c r="H77" s="8"/>
      <c r="I77" s="8"/>
      <c r="J77" s="8"/>
      <c r="K77" s="8"/>
      <c r="L77" s="8"/>
    </row>
    <row r="78" spans="4:12" x14ac:dyDescent="0.3">
      <c r="D78" s="8"/>
      <c r="E78" s="8"/>
      <c r="F78" s="8"/>
      <c r="G78" s="8"/>
      <c r="H78" s="8"/>
      <c r="I78" s="8"/>
      <c r="J78" s="8"/>
      <c r="K78" s="8"/>
      <c r="L78" s="8"/>
    </row>
    <row r="79" spans="4:12" x14ac:dyDescent="0.3">
      <c r="D79" s="8"/>
      <c r="E79" s="8"/>
      <c r="F79" s="8"/>
      <c r="G79" s="8"/>
      <c r="H79" s="8"/>
      <c r="I79" s="8"/>
      <c r="J79" s="8"/>
      <c r="K79" s="8"/>
      <c r="L79" s="8"/>
    </row>
    <row r="80" spans="4:12" x14ac:dyDescent="0.3">
      <c r="D80" s="8"/>
      <c r="E80" s="8"/>
      <c r="F80" s="8"/>
      <c r="G80" s="8"/>
      <c r="H80" s="8"/>
      <c r="I80" s="8"/>
      <c r="J80" s="8"/>
      <c r="K80" s="8"/>
      <c r="L80" s="8"/>
    </row>
    <row r="81" spans="4:12" x14ac:dyDescent="0.3">
      <c r="D81" s="8"/>
      <c r="E81" s="8"/>
      <c r="F81" s="8"/>
      <c r="G81" s="8"/>
      <c r="H81" s="8"/>
      <c r="I81" s="8"/>
      <c r="J81" s="8"/>
      <c r="K81" s="8"/>
      <c r="L81" s="8"/>
    </row>
    <row r="82" spans="4:12" x14ac:dyDescent="0.3">
      <c r="D82" s="8"/>
      <c r="E82" s="8"/>
      <c r="F82" s="8"/>
      <c r="G82" s="8"/>
      <c r="H82" s="8"/>
      <c r="I82" s="8"/>
      <c r="J82" s="8"/>
      <c r="K82" s="8"/>
      <c r="L82" s="8"/>
    </row>
    <row r="83" spans="4:12" x14ac:dyDescent="0.3">
      <c r="D83" s="8"/>
      <c r="E83" s="8"/>
      <c r="F83" s="8"/>
      <c r="G83" s="8"/>
      <c r="H83" s="8"/>
      <c r="I83" s="8"/>
      <c r="J83" s="8"/>
      <c r="K83" s="8"/>
      <c r="L83" s="8"/>
    </row>
    <row r="84" spans="4:12" x14ac:dyDescent="0.3">
      <c r="D84" s="8"/>
      <c r="E84" s="8"/>
      <c r="F84" s="8"/>
      <c r="G84" s="8"/>
      <c r="H84" s="8"/>
      <c r="I84" s="8"/>
      <c r="J84" s="8"/>
      <c r="K84" s="8"/>
      <c r="L84" s="8"/>
    </row>
    <row r="85" spans="4:12" x14ac:dyDescent="0.3">
      <c r="D85" s="8"/>
      <c r="E85" s="8"/>
      <c r="F85" s="8"/>
      <c r="G85" s="8"/>
      <c r="H85" s="8"/>
      <c r="I85" s="8"/>
      <c r="J85" s="8"/>
      <c r="K85" s="8"/>
      <c r="L85" s="8"/>
    </row>
    <row r="86" spans="4:12" x14ac:dyDescent="0.3">
      <c r="D86" s="8"/>
      <c r="E86" s="8"/>
      <c r="F86" s="8"/>
      <c r="G86" s="8"/>
      <c r="H86" s="8"/>
      <c r="I86" s="8"/>
      <c r="J86" s="8"/>
      <c r="K86" s="8"/>
      <c r="L86" s="8"/>
    </row>
    <row r="87" spans="4:12" x14ac:dyDescent="0.3">
      <c r="D87" s="8"/>
      <c r="E87" s="8"/>
      <c r="F87" s="8"/>
      <c r="G87" s="8"/>
      <c r="H87" s="8"/>
      <c r="I87" s="8"/>
      <c r="J87" s="8"/>
      <c r="K87" s="8"/>
      <c r="L87" s="8"/>
    </row>
    <row r="88" spans="4:12" x14ac:dyDescent="0.3">
      <c r="D88" s="8"/>
      <c r="E88" s="8"/>
      <c r="F88" s="8"/>
      <c r="G88" s="8"/>
      <c r="H88" s="8"/>
      <c r="I88" s="8"/>
      <c r="J88" s="8"/>
      <c r="K88" s="8"/>
      <c r="L88" s="8"/>
    </row>
    <row r="89" spans="4:12" x14ac:dyDescent="0.3">
      <c r="D89" s="8"/>
      <c r="E89" s="8"/>
      <c r="F89" s="8"/>
      <c r="G89" s="8"/>
      <c r="H89" s="8"/>
      <c r="I89" s="8"/>
      <c r="J89" s="8"/>
      <c r="K89" s="8"/>
      <c r="L89" s="8"/>
    </row>
    <row r="90" spans="4:12" x14ac:dyDescent="0.3">
      <c r="D90" s="8"/>
      <c r="E90" s="8"/>
      <c r="F90" s="8"/>
      <c r="G90" s="8"/>
      <c r="H90" s="8"/>
      <c r="I90" s="8"/>
      <c r="J90" s="8"/>
      <c r="K90" s="8"/>
      <c r="L90" s="8"/>
    </row>
    <row r="91" spans="4:12" x14ac:dyDescent="0.3">
      <c r="D91" s="8"/>
      <c r="E91" s="8"/>
      <c r="F91" s="8"/>
      <c r="G91" s="8"/>
      <c r="H91" s="8"/>
      <c r="I91" s="8"/>
      <c r="J91" s="8"/>
      <c r="K91" s="8"/>
      <c r="L91" s="8"/>
    </row>
    <row r="92" spans="4:12" x14ac:dyDescent="0.3">
      <c r="D92" s="8"/>
      <c r="E92" s="8"/>
      <c r="F92" s="8"/>
      <c r="G92" s="8"/>
      <c r="H92" s="8"/>
      <c r="I92" s="8"/>
      <c r="J92" s="8"/>
      <c r="K92" s="8"/>
      <c r="L92" s="8"/>
    </row>
    <row r="93" spans="4:12" x14ac:dyDescent="0.3">
      <c r="D93" s="8"/>
      <c r="E93" s="8"/>
      <c r="F93" s="8"/>
      <c r="G93" s="8"/>
      <c r="H93" s="8"/>
      <c r="I93" s="8"/>
      <c r="J93" s="8"/>
      <c r="K93" s="8"/>
      <c r="L93" s="8"/>
    </row>
    <row r="94" spans="4:12" x14ac:dyDescent="0.3">
      <c r="D94" s="8"/>
      <c r="E94" s="8"/>
      <c r="F94" s="8"/>
      <c r="G94" s="8"/>
      <c r="H94" s="8"/>
      <c r="I94" s="8"/>
      <c r="J94" s="8"/>
      <c r="K94" s="8"/>
      <c r="L94" s="8"/>
    </row>
    <row r="95" spans="4:12" x14ac:dyDescent="0.3">
      <c r="D95" s="8"/>
      <c r="E95" s="8"/>
      <c r="F95" s="8"/>
      <c r="G95" s="8"/>
      <c r="H95" s="8"/>
      <c r="I95" s="8"/>
      <c r="J95" s="8"/>
      <c r="K95" s="8"/>
      <c r="L95" s="8"/>
    </row>
    <row r="96" spans="4:12" x14ac:dyDescent="0.3">
      <c r="D96" s="8"/>
      <c r="E96" s="8"/>
      <c r="F96" s="8"/>
      <c r="G96" s="8"/>
      <c r="H96" s="8"/>
      <c r="I96" s="8"/>
      <c r="J96" s="8"/>
      <c r="K96" s="8"/>
      <c r="L96" s="8"/>
    </row>
    <row r="97" spans="4:12" x14ac:dyDescent="0.3">
      <c r="D97" s="8"/>
      <c r="E97" s="8"/>
      <c r="F97" s="8"/>
      <c r="G97" s="8"/>
      <c r="H97" s="8"/>
      <c r="I97" s="8"/>
      <c r="J97" s="8"/>
      <c r="K97" s="8"/>
      <c r="L97" s="8"/>
    </row>
    <row r="98" spans="4:12" x14ac:dyDescent="0.3">
      <c r="D98" s="8"/>
      <c r="E98" s="8"/>
      <c r="F98" s="8"/>
      <c r="G98" s="8"/>
      <c r="H98" s="8"/>
      <c r="I98" s="8"/>
      <c r="J98" s="8"/>
      <c r="K98" s="8"/>
      <c r="L98" s="8"/>
    </row>
  </sheetData>
  <mergeCells count="3">
    <mergeCell ref="D4:G4"/>
    <mergeCell ref="H4:K4"/>
    <mergeCell ref="L4:O4"/>
  </mergeCells>
  <pageMargins left="0.19685039370078741" right="0.31496062992125984" top="0.15748031496062992" bottom="0.74803149606299213" header="0.31496062992125984" footer="0.31496062992125984"/>
  <pageSetup paperSize="9" scale="72" orientation="landscape" r:id="rId1"/>
  <ignoredErrors>
    <ignoredError sqref="K6 K14:L14 G14" 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F65"/>
  <sheetViews>
    <sheetView zoomScaleSheetLayoutView="100" workbookViewId="0">
      <selection activeCell="G10" sqref="G10"/>
    </sheetView>
  </sheetViews>
  <sheetFormatPr baseColWidth="10" defaultColWidth="10.77734375" defaultRowHeight="14.4" x14ac:dyDescent="0.3"/>
  <cols>
    <col min="1" max="1" width="7.44140625" customWidth="1"/>
    <col min="3" max="3" width="46.109375" customWidth="1"/>
    <col min="4" max="4" width="16.109375" customWidth="1"/>
    <col min="5" max="5" width="10.6640625" customWidth="1"/>
    <col min="6" max="6" width="18.33203125" customWidth="1"/>
  </cols>
  <sheetData>
    <row r="1" spans="2:6" s="1" customFormat="1" x14ac:dyDescent="0.3"/>
    <row r="2" spans="2:6" x14ac:dyDescent="0.3">
      <c r="C2" t="s">
        <v>187</v>
      </c>
    </row>
    <row r="3" spans="2:6" s="1" customFormat="1" ht="15" thickBot="1" x14ac:dyDescent="0.35"/>
    <row r="4" spans="2:6" s="1" customFormat="1" ht="15" thickBot="1" x14ac:dyDescent="0.35">
      <c r="B4" s="149" t="s">
        <v>26</v>
      </c>
      <c r="C4" s="150"/>
      <c r="D4" s="150"/>
      <c r="E4" s="150"/>
      <c r="F4" s="155"/>
    </row>
    <row r="5" spans="2:6" ht="15" thickBot="1" x14ac:dyDescent="0.35">
      <c r="B5" s="28" t="s">
        <v>0</v>
      </c>
      <c r="C5" s="61" t="s">
        <v>1</v>
      </c>
      <c r="D5" s="59" t="s">
        <v>89</v>
      </c>
      <c r="E5" s="59" t="s">
        <v>44</v>
      </c>
      <c r="F5" s="60" t="s">
        <v>45</v>
      </c>
    </row>
    <row r="6" spans="2:6" s="2" customFormat="1" x14ac:dyDescent="0.3">
      <c r="B6" s="38">
        <v>60</v>
      </c>
      <c r="C6" s="38" t="s">
        <v>51</v>
      </c>
      <c r="D6" s="54">
        <v>26420000</v>
      </c>
      <c r="E6" s="62">
        <v>26420000</v>
      </c>
      <c r="F6" s="64">
        <f>D6-E6</f>
        <v>0</v>
      </c>
    </row>
    <row r="7" spans="2:6" s="2" customFormat="1" x14ac:dyDescent="0.3">
      <c r="B7" s="24">
        <v>61</v>
      </c>
      <c r="C7" s="24" t="s">
        <v>58</v>
      </c>
      <c r="D7" s="18">
        <v>4046000</v>
      </c>
      <c r="E7" s="17">
        <v>4046000</v>
      </c>
      <c r="F7" s="65">
        <f t="shared" ref="F7:F8" si="0">D7-E7</f>
        <v>0</v>
      </c>
    </row>
    <row r="8" spans="2:6" s="2" customFormat="1" x14ac:dyDescent="0.3">
      <c r="B8" s="24">
        <v>62</v>
      </c>
      <c r="C8" s="24" t="s">
        <v>67</v>
      </c>
      <c r="D8" s="18">
        <v>10383200</v>
      </c>
      <c r="E8" s="17">
        <v>10383200</v>
      </c>
      <c r="F8" s="65">
        <f t="shared" si="0"/>
        <v>0</v>
      </c>
    </row>
    <row r="9" spans="2:6" s="2" customFormat="1" x14ac:dyDescent="0.3">
      <c r="B9" s="24">
        <v>63</v>
      </c>
      <c r="C9" s="24" t="s">
        <v>181</v>
      </c>
      <c r="D9" s="18">
        <v>1000000</v>
      </c>
      <c r="E9" s="17">
        <v>1000000</v>
      </c>
      <c r="F9" s="65">
        <v>0</v>
      </c>
    </row>
    <row r="10" spans="2:6" s="2" customFormat="1" x14ac:dyDescent="0.3">
      <c r="B10" s="24">
        <v>65</v>
      </c>
      <c r="C10" s="24" t="s">
        <v>68</v>
      </c>
      <c r="D10" s="18">
        <v>0</v>
      </c>
      <c r="E10" s="17">
        <v>0</v>
      </c>
      <c r="F10" s="65" t="s">
        <v>142</v>
      </c>
    </row>
    <row r="11" spans="2:6" s="2" customFormat="1" x14ac:dyDescent="0.3">
      <c r="B11" s="27"/>
      <c r="C11" s="27" t="s">
        <v>70</v>
      </c>
      <c r="D11" s="18">
        <f>D6+D7+D8+D9</f>
        <v>41849200</v>
      </c>
      <c r="E11" s="18">
        <f>E6+E7+E8+E9</f>
        <v>41849200</v>
      </c>
      <c r="F11" s="18">
        <f>F6+F7+F8+F9</f>
        <v>0</v>
      </c>
    </row>
    <row r="12" spans="2:6" x14ac:dyDescent="0.3">
      <c r="B12" s="25"/>
      <c r="C12" s="25" t="s">
        <v>71</v>
      </c>
      <c r="D12" s="31"/>
      <c r="E12" s="35"/>
      <c r="F12" s="65" t="s">
        <v>142</v>
      </c>
    </row>
    <row r="13" spans="2:6" s="1" customFormat="1" x14ac:dyDescent="0.3">
      <c r="B13" s="28"/>
      <c r="C13" s="28" t="s">
        <v>72</v>
      </c>
      <c r="D13" s="32">
        <f t="shared" ref="D13:E13" si="1">+D11+D12</f>
        <v>41849200</v>
      </c>
      <c r="E13" s="36">
        <f t="shared" si="1"/>
        <v>41849200</v>
      </c>
      <c r="F13" s="66">
        <v>0</v>
      </c>
    </row>
    <row r="14" spans="2:6" ht="15" thickBot="1" x14ac:dyDescent="0.35">
      <c r="B14" s="55"/>
      <c r="C14" s="55"/>
      <c r="D14" s="56"/>
      <c r="E14" s="63"/>
      <c r="F14" s="67"/>
    </row>
    <row r="15" spans="2:6" s="1" customFormat="1" ht="15" thickBot="1" x14ac:dyDescent="0.35">
      <c r="B15" s="152" t="s">
        <v>27</v>
      </c>
      <c r="C15" s="153"/>
      <c r="D15" s="153"/>
      <c r="E15" s="153"/>
      <c r="F15" s="154"/>
    </row>
    <row r="16" spans="2:6" x14ac:dyDescent="0.3">
      <c r="B16" s="34" t="s">
        <v>0</v>
      </c>
      <c r="C16" s="34" t="s">
        <v>1</v>
      </c>
      <c r="D16" s="57"/>
      <c r="E16" s="57"/>
      <c r="F16" s="58"/>
    </row>
    <row r="17" spans="2:6" s="2" customFormat="1" x14ac:dyDescent="0.3">
      <c r="B17" s="24">
        <v>16</v>
      </c>
      <c r="C17" s="24" t="s">
        <v>73</v>
      </c>
      <c r="D17" s="18"/>
      <c r="E17" s="18"/>
      <c r="F17" s="18" t="s">
        <v>142</v>
      </c>
    </row>
    <row r="18" spans="2:6" s="2" customFormat="1" x14ac:dyDescent="0.3">
      <c r="B18" s="24">
        <v>20</v>
      </c>
      <c r="C18" s="24" t="s">
        <v>74</v>
      </c>
      <c r="D18" s="18"/>
      <c r="E18" s="18"/>
      <c r="F18" s="18" t="s">
        <v>142</v>
      </c>
    </row>
    <row r="19" spans="2:6" s="2" customFormat="1" x14ac:dyDescent="0.3">
      <c r="B19" s="24">
        <v>21</v>
      </c>
      <c r="C19" s="24" t="s">
        <v>76</v>
      </c>
      <c r="D19" s="18">
        <v>2200000</v>
      </c>
      <c r="E19" s="18">
        <v>2200000</v>
      </c>
      <c r="F19" s="18">
        <f t="shared" ref="F19" si="2">D19-E19</f>
        <v>0</v>
      </c>
    </row>
    <row r="20" spans="2:6" s="1" customFormat="1" x14ac:dyDescent="0.3">
      <c r="B20" s="28"/>
      <c r="C20" s="28" t="s">
        <v>79</v>
      </c>
      <c r="D20" s="32">
        <f>D17+D18+D19</f>
        <v>2200000</v>
      </c>
      <c r="E20" s="32">
        <f>E17+E18+E19</f>
        <v>2200000</v>
      </c>
      <c r="F20" s="32">
        <v>0</v>
      </c>
    </row>
    <row r="21" spans="2:6" s="2" customFormat="1" x14ac:dyDescent="0.3">
      <c r="B21" s="24">
        <v>20</v>
      </c>
      <c r="C21" s="24" t="s">
        <v>74</v>
      </c>
      <c r="D21" s="18"/>
      <c r="E21" s="18"/>
      <c r="F21" s="18" t="s">
        <v>142</v>
      </c>
    </row>
    <row r="22" spans="2:6" s="2" customFormat="1" x14ac:dyDescent="0.3">
      <c r="B22" s="24">
        <v>21</v>
      </c>
      <c r="C22" s="24" t="s">
        <v>76</v>
      </c>
      <c r="D22" s="18"/>
      <c r="E22" s="18"/>
      <c r="F22" s="18" t="s">
        <v>142</v>
      </c>
    </row>
    <row r="23" spans="2:6" s="1" customFormat="1" x14ac:dyDescent="0.3">
      <c r="B23" s="28"/>
      <c r="C23" s="28" t="s">
        <v>80</v>
      </c>
      <c r="D23" s="32">
        <f t="shared" ref="D23:E23" si="3">D21+D22</f>
        <v>0</v>
      </c>
      <c r="E23" s="32">
        <f t="shared" si="3"/>
        <v>0</v>
      </c>
      <c r="F23" s="32">
        <v>0</v>
      </c>
    </row>
    <row r="24" spans="2:6" s="1" customFormat="1" ht="15" thickBot="1" x14ac:dyDescent="0.35">
      <c r="B24" s="29"/>
      <c r="C24" s="29" t="s">
        <v>81</v>
      </c>
      <c r="D24" s="33">
        <f t="shared" ref="D24:F24" si="4">D20+D23</f>
        <v>2200000</v>
      </c>
      <c r="E24" s="33">
        <f t="shared" si="4"/>
        <v>2200000</v>
      </c>
      <c r="F24" s="33">
        <f t="shared" si="4"/>
        <v>0</v>
      </c>
    </row>
    <row r="25" spans="2:6" x14ac:dyDescent="0.3">
      <c r="D25" s="8"/>
      <c r="E25" s="8"/>
    </row>
    <row r="26" spans="2:6" x14ac:dyDescent="0.3">
      <c r="D26" s="8"/>
      <c r="E26" s="8"/>
    </row>
    <row r="27" spans="2:6" x14ac:dyDescent="0.3">
      <c r="D27" s="8"/>
      <c r="E27" s="8"/>
    </row>
    <row r="28" spans="2:6" x14ac:dyDescent="0.3">
      <c r="D28" s="8"/>
      <c r="E28" s="8"/>
    </row>
    <row r="29" spans="2:6" x14ac:dyDescent="0.3">
      <c r="D29" s="8"/>
      <c r="E29" s="8"/>
    </row>
    <row r="30" spans="2:6" x14ac:dyDescent="0.3">
      <c r="D30" s="8"/>
      <c r="E30" s="8"/>
    </row>
    <row r="31" spans="2:6" x14ac:dyDescent="0.3">
      <c r="D31" s="8"/>
      <c r="E31" s="8"/>
    </row>
    <row r="32" spans="2:6" x14ac:dyDescent="0.3">
      <c r="D32" s="8"/>
      <c r="E32" s="8"/>
    </row>
    <row r="33" spans="4:5" x14ac:dyDescent="0.3">
      <c r="D33" s="8"/>
      <c r="E33" s="8"/>
    </row>
    <row r="34" spans="4:5" x14ac:dyDescent="0.3">
      <c r="D34" s="8"/>
      <c r="E34" s="8"/>
    </row>
    <row r="35" spans="4:5" x14ac:dyDescent="0.3">
      <c r="D35" s="8"/>
      <c r="E35" s="8"/>
    </row>
    <row r="36" spans="4:5" x14ac:dyDescent="0.3">
      <c r="D36" s="8"/>
      <c r="E36" s="8"/>
    </row>
    <row r="37" spans="4:5" x14ac:dyDescent="0.3">
      <c r="D37" s="8"/>
      <c r="E37" s="8"/>
    </row>
    <row r="38" spans="4:5" x14ac:dyDescent="0.3">
      <c r="D38" s="8"/>
      <c r="E38" s="8"/>
    </row>
    <row r="39" spans="4:5" x14ac:dyDescent="0.3">
      <c r="D39" s="8"/>
      <c r="E39" s="8"/>
    </row>
    <row r="40" spans="4:5" x14ac:dyDescent="0.3">
      <c r="D40" s="8"/>
      <c r="E40" s="8"/>
    </row>
    <row r="41" spans="4:5" x14ac:dyDescent="0.3">
      <c r="D41" s="8"/>
      <c r="E41" s="8"/>
    </row>
    <row r="42" spans="4:5" x14ac:dyDescent="0.3">
      <c r="D42" s="8"/>
      <c r="E42" s="8"/>
    </row>
    <row r="43" spans="4:5" x14ac:dyDescent="0.3">
      <c r="D43" s="8"/>
      <c r="E43" s="8"/>
    </row>
    <row r="44" spans="4:5" x14ac:dyDescent="0.3">
      <c r="D44" s="8"/>
      <c r="E44" s="8"/>
    </row>
    <row r="45" spans="4:5" x14ac:dyDescent="0.3">
      <c r="D45" s="8"/>
      <c r="E45" s="8"/>
    </row>
    <row r="46" spans="4:5" x14ac:dyDescent="0.3">
      <c r="D46" s="8"/>
      <c r="E46" s="8"/>
    </row>
    <row r="47" spans="4:5" x14ac:dyDescent="0.3">
      <c r="D47" s="8"/>
      <c r="E47" s="8"/>
    </row>
    <row r="48" spans="4:5" x14ac:dyDescent="0.3">
      <c r="D48" s="8"/>
      <c r="E48" s="8"/>
    </row>
    <row r="49" spans="4:5" x14ac:dyDescent="0.3">
      <c r="D49" s="8"/>
      <c r="E49" s="8"/>
    </row>
    <row r="50" spans="4:5" x14ac:dyDescent="0.3">
      <c r="D50" s="8"/>
      <c r="E50" s="8"/>
    </row>
    <row r="51" spans="4:5" x14ac:dyDescent="0.3">
      <c r="D51" s="8"/>
      <c r="E51" s="8"/>
    </row>
    <row r="52" spans="4:5" x14ac:dyDescent="0.3">
      <c r="D52" s="8"/>
      <c r="E52" s="8"/>
    </row>
    <row r="53" spans="4:5" x14ac:dyDescent="0.3">
      <c r="D53" s="8"/>
      <c r="E53" s="8"/>
    </row>
    <row r="54" spans="4:5" x14ac:dyDescent="0.3">
      <c r="D54" s="8"/>
      <c r="E54" s="8"/>
    </row>
    <row r="55" spans="4:5" x14ac:dyDescent="0.3">
      <c r="D55" s="8"/>
      <c r="E55" s="8"/>
    </row>
    <row r="56" spans="4:5" x14ac:dyDescent="0.3">
      <c r="D56" s="8"/>
      <c r="E56" s="8"/>
    </row>
    <row r="57" spans="4:5" x14ac:dyDescent="0.3">
      <c r="D57" s="8"/>
      <c r="E57" s="8"/>
    </row>
    <row r="58" spans="4:5" x14ac:dyDescent="0.3">
      <c r="D58" s="8"/>
      <c r="E58" s="8"/>
    </row>
    <row r="59" spans="4:5" x14ac:dyDescent="0.3">
      <c r="D59" s="8"/>
      <c r="E59" s="8"/>
    </row>
    <row r="60" spans="4:5" x14ac:dyDescent="0.3">
      <c r="D60" s="8"/>
      <c r="E60" s="8"/>
    </row>
    <row r="61" spans="4:5" x14ac:dyDescent="0.3">
      <c r="D61" s="8"/>
      <c r="E61" s="8"/>
    </row>
    <row r="62" spans="4:5" x14ac:dyDescent="0.3">
      <c r="D62" s="8"/>
      <c r="E62" s="8"/>
    </row>
    <row r="63" spans="4:5" x14ac:dyDescent="0.3">
      <c r="D63" s="8"/>
      <c r="E63" s="8"/>
    </row>
    <row r="64" spans="4:5" x14ac:dyDescent="0.3">
      <c r="D64" s="8"/>
      <c r="E64" s="8"/>
    </row>
    <row r="65" spans="4:5" x14ac:dyDescent="0.3">
      <c r="D65" s="8"/>
      <c r="E65" s="8"/>
    </row>
  </sheetData>
  <mergeCells count="2">
    <mergeCell ref="B15:F15"/>
    <mergeCell ref="B4:F4"/>
  </mergeCells>
  <pageMargins left="0.70866141732283472" right="0.70866141732283472" top="0.74803149606299213" bottom="0.74803149606299213" header="0.31496062992125984" footer="0.31496062992125984"/>
  <pageSetup paperSize="9"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3:BA43"/>
  <sheetViews>
    <sheetView tabSelected="1" view="pageBreakPreview" topLeftCell="B4" zoomScale="70" zoomScaleNormal="100" zoomScaleSheetLayoutView="70" workbookViewId="0">
      <selection activeCell="H20" sqref="H20"/>
    </sheetView>
  </sheetViews>
  <sheetFormatPr baseColWidth="10" defaultColWidth="8.88671875" defaultRowHeight="14.4" x14ac:dyDescent="0.3"/>
  <cols>
    <col min="1" max="1" width="8.88671875" style="10"/>
    <col min="2" max="2" width="42.5546875" customWidth="1"/>
    <col min="3" max="3" width="12.6640625" customWidth="1"/>
    <col min="4" max="4" width="11.5546875" customWidth="1"/>
    <col min="5" max="5" width="12.109375" customWidth="1"/>
    <col min="6" max="6" width="8.5546875" style="10" customWidth="1"/>
    <col min="7" max="7" width="44.44140625" customWidth="1"/>
    <col min="8" max="8" width="12.5546875" customWidth="1"/>
    <col min="9" max="9" width="17.44140625" customWidth="1"/>
    <col min="10" max="10" width="10.33203125" customWidth="1"/>
  </cols>
  <sheetData>
    <row r="3" spans="1:17" ht="23.4" x14ac:dyDescent="0.45">
      <c r="C3" s="156" t="s">
        <v>92</v>
      </c>
      <c r="D3" s="156"/>
      <c r="E3" s="156"/>
      <c r="F3" s="156"/>
      <c r="G3" s="156"/>
    </row>
    <row r="5" spans="1:17" s="1" customFormat="1" ht="15.6" x14ac:dyDescent="0.3">
      <c r="A5" s="9"/>
      <c r="C5" s="148" t="s">
        <v>26</v>
      </c>
      <c r="D5" s="148"/>
      <c r="E5" s="148"/>
      <c r="F5" s="148"/>
      <c r="G5" s="148"/>
    </row>
    <row r="6" spans="1:17" ht="15" thickBot="1" x14ac:dyDescent="0.35">
      <c r="B6" t="s">
        <v>93</v>
      </c>
      <c r="I6" t="s">
        <v>94</v>
      </c>
      <c r="Q6" t="s">
        <v>95</v>
      </c>
    </row>
    <row r="7" spans="1:17" ht="29.4" thickBot="1" x14ac:dyDescent="0.35">
      <c r="A7" s="86" t="s">
        <v>96</v>
      </c>
      <c r="B7" s="87" t="s">
        <v>97</v>
      </c>
      <c r="C7" s="88" t="s">
        <v>188</v>
      </c>
      <c r="D7" s="87" t="s">
        <v>44</v>
      </c>
      <c r="E7" s="112" t="s">
        <v>189</v>
      </c>
      <c r="F7" s="89" t="s">
        <v>96</v>
      </c>
      <c r="G7" s="88" t="s">
        <v>98</v>
      </c>
      <c r="H7" s="87" t="s">
        <v>190</v>
      </c>
      <c r="I7" s="88" t="s">
        <v>5</v>
      </c>
      <c r="J7" s="113" t="s">
        <v>6</v>
      </c>
    </row>
    <row r="8" spans="1:17" x14ac:dyDescent="0.3">
      <c r="A8" s="90">
        <v>60</v>
      </c>
      <c r="B8" s="91" t="s">
        <v>99</v>
      </c>
      <c r="C8" s="92">
        <v>26420000</v>
      </c>
      <c r="D8" s="93">
        <v>26420000</v>
      </c>
      <c r="E8" s="92">
        <f>C8-D8</f>
        <v>0</v>
      </c>
      <c r="F8" s="94">
        <v>70</v>
      </c>
      <c r="G8" s="95" t="s">
        <v>100</v>
      </c>
      <c r="H8" s="93">
        <v>1120920</v>
      </c>
      <c r="I8" s="92">
        <v>1120920</v>
      </c>
      <c r="J8" s="93">
        <f>H8-I8</f>
        <v>0</v>
      </c>
    </row>
    <row r="9" spans="1:17" x14ac:dyDescent="0.3">
      <c r="A9" s="96">
        <v>61</v>
      </c>
      <c r="B9" s="25" t="s">
        <v>101</v>
      </c>
      <c r="C9" s="8">
        <v>4046000</v>
      </c>
      <c r="D9" s="41">
        <v>4046000</v>
      </c>
      <c r="E9" s="8">
        <f t="shared" ref="E9:E16" si="0">C9-D9</f>
        <v>0</v>
      </c>
      <c r="F9" s="97">
        <v>71</v>
      </c>
      <c r="G9" t="s">
        <v>102</v>
      </c>
      <c r="H9" s="41">
        <v>3447000</v>
      </c>
      <c r="I9" s="8">
        <v>3447000</v>
      </c>
      <c r="J9" s="41">
        <f t="shared" ref="J9:J16" si="1">H9-I9</f>
        <v>0</v>
      </c>
    </row>
    <row r="10" spans="1:17" x14ac:dyDescent="0.3">
      <c r="A10" s="96">
        <v>62</v>
      </c>
      <c r="B10" s="25" t="s">
        <v>103</v>
      </c>
      <c r="C10" s="8">
        <v>10383200</v>
      </c>
      <c r="D10" s="41">
        <v>10383200</v>
      </c>
      <c r="E10" s="8">
        <f t="shared" si="0"/>
        <v>0</v>
      </c>
      <c r="F10" s="97">
        <v>72</v>
      </c>
      <c r="G10" t="s">
        <v>104</v>
      </c>
      <c r="H10" s="41">
        <v>1220000</v>
      </c>
      <c r="I10" s="8">
        <v>1220000</v>
      </c>
      <c r="J10" s="41">
        <f t="shared" si="1"/>
        <v>0</v>
      </c>
    </row>
    <row r="11" spans="1:17" x14ac:dyDescent="0.3">
      <c r="A11" s="96">
        <v>63</v>
      </c>
      <c r="B11" s="25" t="s">
        <v>105</v>
      </c>
      <c r="C11" s="8">
        <v>1000000</v>
      </c>
      <c r="D11" s="41">
        <v>1000000</v>
      </c>
      <c r="E11" s="8">
        <f t="shared" si="0"/>
        <v>0</v>
      </c>
      <c r="F11" s="97">
        <v>74</v>
      </c>
      <c r="G11" t="s">
        <v>106</v>
      </c>
      <c r="H11" s="41">
        <v>0</v>
      </c>
      <c r="I11" s="8">
        <v>0</v>
      </c>
      <c r="J11" s="41" t="s">
        <v>142</v>
      </c>
    </row>
    <row r="12" spans="1:17" x14ac:dyDescent="0.3">
      <c r="A12" s="96">
        <v>64</v>
      </c>
      <c r="B12" s="25" t="s">
        <v>107</v>
      </c>
      <c r="C12" s="8" t="s">
        <v>142</v>
      </c>
      <c r="D12" s="41" t="s">
        <v>142</v>
      </c>
      <c r="E12" s="8" t="s">
        <v>142</v>
      </c>
      <c r="F12" s="97">
        <v>75</v>
      </c>
      <c r="G12" t="s">
        <v>108</v>
      </c>
      <c r="H12" s="41">
        <v>33756000</v>
      </c>
      <c r="I12" s="8">
        <v>33756000</v>
      </c>
      <c r="J12" s="41">
        <f t="shared" si="1"/>
        <v>0</v>
      </c>
    </row>
    <row r="13" spans="1:17" x14ac:dyDescent="0.3">
      <c r="A13" s="96">
        <v>65</v>
      </c>
      <c r="B13" s="25" t="s">
        <v>68</v>
      </c>
      <c r="C13" s="8"/>
      <c r="D13" s="41"/>
      <c r="E13" s="8">
        <f t="shared" si="0"/>
        <v>0</v>
      </c>
      <c r="F13" s="97">
        <v>76</v>
      </c>
      <c r="G13" t="s">
        <v>109</v>
      </c>
      <c r="H13" s="41"/>
      <c r="I13" s="8"/>
      <c r="J13" s="41">
        <f t="shared" si="1"/>
        <v>0</v>
      </c>
    </row>
    <row r="14" spans="1:17" x14ac:dyDescent="0.3">
      <c r="A14" s="96">
        <v>66</v>
      </c>
      <c r="B14" s="25" t="s">
        <v>110</v>
      </c>
      <c r="C14" s="8"/>
      <c r="D14" s="41"/>
      <c r="E14" s="8">
        <f t="shared" si="0"/>
        <v>0</v>
      </c>
      <c r="F14" s="97">
        <v>77</v>
      </c>
      <c r="G14" t="s">
        <v>16</v>
      </c>
      <c r="H14" s="41">
        <v>12444781</v>
      </c>
      <c r="I14" s="8">
        <v>12444781</v>
      </c>
      <c r="J14" s="41">
        <f t="shared" si="1"/>
        <v>0</v>
      </c>
    </row>
    <row r="15" spans="1:17" x14ac:dyDescent="0.3">
      <c r="A15" s="96">
        <v>67</v>
      </c>
      <c r="B15" s="25" t="s">
        <v>111</v>
      </c>
      <c r="C15" s="8"/>
      <c r="D15" s="41"/>
      <c r="E15" s="8">
        <f t="shared" si="0"/>
        <v>0</v>
      </c>
      <c r="F15" s="97"/>
      <c r="H15" s="41"/>
      <c r="I15" s="8"/>
      <c r="J15" s="41">
        <f t="shared" si="1"/>
        <v>0</v>
      </c>
    </row>
    <row r="16" spans="1:17" ht="15" thickBot="1" x14ac:dyDescent="0.35">
      <c r="A16" s="96">
        <v>119</v>
      </c>
      <c r="B16" s="25" t="s">
        <v>112</v>
      </c>
      <c r="C16" s="8"/>
      <c r="D16" s="41"/>
      <c r="E16" s="8">
        <f>C16-D16</f>
        <v>0</v>
      </c>
      <c r="F16" s="97">
        <v>110</v>
      </c>
      <c r="G16" t="s">
        <v>191</v>
      </c>
      <c r="H16" s="41"/>
      <c r="I16" s="8"/>
      <c r="J16" s="41">
        <f>H16-I16</f>
        <v>0</v>
      </c>
    </row>
    <row r="17" spans="1:10" s="1" customFormat="1" x14ac:dyDescent="0.3">
      <c r="A17" s="114"/>
      <c r="B17" s="34" t="s">
        <v>113</v>
      </c>
      <c r="C17" s="115">
        <f>SUM(C8:C16)</f>
        <v>41849200</v>
      </c>
      <c r="D17" s="116">
        <f>SUM(D8:D16)</f>
        <v>41849200</v>
      </c>
      <c r="E17" s="115">
        <f>SUM(E8:E16)</f>
        <v>0</v>
      </c>
      <c r="F17" s="117"/>
      <c r="G17" s="118" t="s">
        <v>21</v>
      </c>
      <c r="H17" s="116">
        <f>SUM(H8:H16)</f>
        <v>51988701</v>
      </c>
      <c r="I17" s="115">
        <f>SUM(I8:I16)</f>
        <v>51988701</v>
      </c>
      <c r="J17" s="116">
        <f>SUM(J8:J16)</f>
        <v>0</v>
      </c>
    </row>
    <row r="18" spans="1:10" x14ac:dyDescent="0.3">
      <c r="A18" s="96">
        <v>12</v>
      </c>
      <c r="B18" s="25" t="s">
        <v>114</v>
      </c>
      <c r="C18" s="11">
        <f>I17-C17</f>
        <v>10139501</v>
      </c>
      <c r="D18" s="119"/>
      <c r="E18" s="120"/>
      <c r="F18" s="97">
        <v>774</v>
      </c>
      <c r="G18" t="s">
        <v>115</v>
      </c>
      <c r="H18" s="119"/>
      <c r="I18" s="120"/>
      <c r="J18" s="119"/>
    </row>
    <row r="19" spans="1:10" x14ac:dyDescent="0.3">
      <c r="A19" s="96"/>
      <c r="B19" s="25" t="s">
        <v>116</v>
      </c>
      <c r="C19" s="11">
        <f>C18</f>
        <v>10139501</v>
      </c>
      <c r="D19" s="119"/>
      <c r="E19" s="120"/>
      <c r="F19" s="97"/>
      <c r="G19" t="s">
        <v>117</v>
      </c>
      <c r="H19" s="119"/>
      <c r="I19" s="120"/>
      <c r="J19" s="119"/>
    </row>
    <row r="20" spans="1:10" s="1" customFormat="1" x14ac:dyDescent="0.3">
      <c r="A20" s="98"/>
      <c r="B20" s="28" t="s">
        <v>118</v>
      </c>
      <c r="C20" s="11">
        <f>I20</f>
        <v>51988701</v>
      </c>
      <c r="D20" s="119"/>
      <c r="E20" s="120"/>
      <c r="F20" s="99"/>
      <c r="G20" s="1" t="s">
        <v>119</v>
      </c>
      <c r="H20" s="43">
        <f>H17</f>
        <v>51988701</v>
      </c>
      <c r="I20" s="11">
        <f>I17</f>
        <v>51988701</v>
      </c>
      <c r="J20" s="43"/>
    </row>
    <row r="21" spans="1:10" s="1" customFormat="1" ht="15" thickBot="1" x14ac:dyDescent="0.35">
      <c r="A21" s="100"/>
      <c r="B21" s="29" t="s">
        <v>114</v>
      </c>
      <c r="C21" s="21">
        <f>C18</f>
        <v>10139501</v>
      </c>
      <c r="D21" s="44"/>
      <c r="E21" s="21"/>
      <c r="F21" s="101"/>
      <c r="G21" s="102" t="s">
        <v>120</v>
      </c>
      <c r="H21" s="44"/>
      <c r="I21" s="21"/>
      <c r="J21" s="44"/>
    </row>
    <row r="23" spans="1:10" s="1" customFormat="1" ht="16.2" thickBot="1" x14ac:dyDescent="0.35">
      <c r="A23" s="9"/>
      <c r="C23" s="157" t="s">
        <v>27</v>
      </c>
      <c r="D23" s="157"/>
      <c r="E23" s="157"/>
      <c r="F23" s="157"/>
      <c r="G23" s="157"/>
    </row>
    <row r="24" spans="1:10" x14ac:dyDescent="0.3">
      <c r="A24" s="90"/>
      <c r="B24" s="91"/>
      <c r="C24" s="95"/>
      <c r="D24" s="91"/>
      <c r="E24" s="95"/>
      <c r="F24" s="94">
        <v>10</v>
      </c>
      <c r="G24" s="95" t="s">
        <v>121</v>
      </c>
      <c r="H24" s="91"/>
      <c r="I24" s="95"/>
      <c r="J24" s="91">
        <f>H24-I24</f>
        <v>0</v>
      </c>
    </row>
    <row r="25" spans="1:10" x14ac:dyDescent="0.3">
      <c r="A25" s="96">
        <v>16</v>
      </c>
      <c r="B25" s="25" t="s">
        <v>122</v>
      </c>
      <c r="C25" s="8"/>
      <c r="D25" s="41"/>
      <c r="E25" s="8">
        <f>C25-D25</f>
        <v>0</v>
      </c>
      <c r="F25" s="97">
        <v>13</v>
      </c>
      <c r="G25" t="s">
        <v>123</v>
      </c>
      <c r="H25" s="41" t="s">
        <v>142</v>
      </c>
      <c r="I25" s="8" t="s">
        <v>142</v>
      </c>
      <c r="J25" s="25" t="s">
        <v>142</v>
      </c>
    </row>
    <row r="26" spans="1:10" x14ac:dyDescent="0.3">
      <c r="A26" s="96">
        <v>20</v>
      </c>
      <c r="B26" s="25" t="s">
        <v>74</v>
      </c>
      <c r="C26" s="8" t="s">
        <v>142</v>
      </c>
      <c r="D26" s="41" t="s">
        <v>142</v>
      </c>
      <c r="E26" s="8" t="s">
        <v>142</v>
      </c>
      <c r="F26" s="97">
        <v>14</v>
      </c>
      <c r="G26" t="s">
        <v>124</v>
      </c>
      <c r="H26" s="41"/>
      <c r="I26" s="8"/>
      <c r="J26" s="25">
        <f t="shared" ref="J26:J28" si="2">H26-I26</f>
        <v>0</v>
      </c>
    </row>
    <row r="27" spans="1:10" x14ac:dyDescent="0.3">
      <c r="A27" s="96">
        <v>21</v>
      </c>
      <c r="B27" s="25" t="s">
        <v>76</v>
      </c>
      <c r="C27" s="8">
        <v>2200000</v>
      </c>
      <c r="D27" s="41">
        <v>2200000</v>
      </c>
      <c r="E27" s="8">
        <f t="shared" ref="E27:E28" si="3">C27-D27</f>
        <v>0</v>
      </c>
      <c r="F27" s="97">
        <v>16</v>
      </c>
      <c r="G27" t="s">
        <v>73</v>
      </c>
      <c r="H27" s="41"/>
      <c r="I27" s="8"/>
      <c r="J27" s="25">
        <f t="shared" si="2"/>
        <v>0</v>
      </c>
    </row>
    <row r="28" spans="1:10" ht="15" thickBot="1" x14ac:dyDescent="0.35">
      <c r="A28" s="121">
        <v>119</v>
      </c>
      <c r="B28" s="55" t="s">
        <v>112</v>
      </c>
      <c r="C28" s="122"/>
      <c r="D28" s="123"/>
      <c r="E28" s="122">
        <f t="shared" si="3"/>
        <v>0</v>
      </c>
      <c r="F28" s="124">
        <v>110</v>
      </c>
      <c r="G28" s="125" t="s">
        <v>191</v>
      </c>
      <c r="H28" s="123"/>
      <c r="I28" s="122"/>
      <c r="J28" s="55">
        <f t="shared" si="2"/>
        <v>0</v>
      </c>
    </row>
    <row r="29" spans="1:10" s="1" customFormat="1" x14ac:dyDescent="0.3">
      <c r="A29" s="98"/>
      <c r="B29" s="61" t="s">
        <v>125</v>
      </c>
      <c r="C29" s="116">
        <f>SUM(C24:C28)</f>
        <v>2200000</v>
      </c>
      <c r="D29" s="11">
        <f>SUM(D24:D28)</f>
        <v>2200000</v>
      </c>
      <c r="E29" s="11">
        <f>SUM(E24:E28)</f>
        <v>0</v>
      </c>
      <c r="F29" s="126"/>
      <c r="G29" s="1" t="s">
        <v>126</v>
      </c>
      <c r="H29" s="43">
        <f>SUM(H24:H28)</f>
        <v>0</v>
      </c>
      <c r="I29" s="11">
        <f>SUM(I24:I28)</f>
        <v>0</v>
      </c>
      <c r="J29" s="43">
        <f>SUM(J24:J28)</f>
        <v>0</v>
      </c>
    </row>
    <row r="30" spans="1:10" x14ac:dyDescent="0.3">
      <c r="A30" s="96">
        <v>20</v>
      </c>
      <c r="B30" s="103" t="s">
        <v>74</v>
      </c>
      <c r="C30" s="41"/>
      <c r="D30" s="8"/>
      <c r="E30" s="41">
        <f>C30-D30</f>
        <v>0</v>
      </c>
      <c r="F30" s="104">
        <v>1012</v>
      </c>
      <c r="G30" t="s">
        <v>127</v>
      </c>
      <c r="H30" s="41"/>
      <c r="I30" s="8"/>
      <c r="J30" s="41"/>
    </row>
    <row r="31" spans="1:10" ht="28.8" x14ac:dyDescent="0.3">
      <c r="A31" s="96">
        <v>21</v>
      </c>
      <c r="B31" s="103" t="s">
        <v>76</v>
      </c>
      <c r="C31" s="41"/>
      <c r="D31" s="8"/>
      <c r="E31" s="41">
        <f>C31-D31</f>
        <v>0</v>
      </c>
      <c r="F31" s="104">
        <v>1064</v>
      </c>
      <c r="G31" s="105" t="s">
        <v>128</v>
      </c>
      <c r="H31" s="41">
        <v>2200000</v>
      </c>
      <c r="I31" s="8">
        <v>2200000</v>
      </c>
      <c r="J31" s="41">
        <f>H31-I31</f>
        <v>0</v>
      </c>
    </row>
    <row r="32" spans="1:10" x14ac:dyDescent="0.3">
      <c r="A32" s="96"/>
      <c r="B32" s="103" t="s">
        <v>129</v>
      </c>
      <c r="C32" s="43">
        <f>SUM(C30:C31)</f>
        <v>0</v>
      </c>
      <c r="D32" s="11">
        <f>SUM(D30:D31)</f>
        <v>0</v>
      </c>
      <c r="E32" s="43">
        <f>SUM(E30:E31)</f>
        <v>0</v>
      </c>
      <c r="F32" s="104"/>
      <c r="G32" t="s">
        <v>130</v>
      </c>
      <c r="H32" s="41">
        <f>SUM(H30:H31)</f>
        <v>2200000</v>
      </c>
      <c r="I32" s="8">
        <f>SUM(I30:I31)</f>
        <v>2200000</v>
      </c>
      <c r="J32" s="41" t="s">
        <v>142</v>
      </c>
    </row>
    <row r="33" spans="1:53" s="1" customFormat="1" ht="15" thickBot="1" x14ac:dyDescent="0.35">
      <c r="A33" s="98"/>
      <c r="B33" s="61" t="s">
        <v>131</v>
      </c>
      <c r="C33" s="43">
        <f>C29+C32</f>
        <v>2200000</v>
      </c>
      <c r="D33" s="11">
        <f t="shared" ref="D33:E33" si="4">D29+D32</f>
        <v>2200000</v>
      </c>
      <c r="E33" s="43">
        <f t="shared" si="4"/>
        <v>0</v>
      </c>
      <c r="F33" s="126"/>
      <c r="G33" s="1" t="s">
        <v>132</v>
      </c>
      <c r="H33" s="43">
        <f>H29+H31</f>
        <v>2200000</v>
      </c>
      <c r="I33" s="11">
        <f>SUM(I29:I31)</f>
        <v>2200000</v>
      </c>
      <c r="J33" s="44">
        <f>H33-I33</f>
        <v>0</v>
      </c>
    </row>
    <row r="34" spans="1:53" s="1" customFormat="1" ht="15" thickBot="1" x14ac:dyDescent="0.35">
      <c r="A34" s="100"/>
      <c r="B34" s="127" t="s">
        <v>192</v>
      </c>
      <c r="C34" s="44">
        <f>I33-C33</f>
        <v>0</v>
      </c>
      <c r="D34" s="128"/>
      <c r="E34" s="129"/>
      <c r="F34" s="130"/>
      <c r="G34" s="102" t="s">
        <v>193</v>
      </c>
      <c r="H34" s="44"/>
      <c r="I34" s="128"/>
      <c r="J34" s="131"/>
    </row>
    <row r="36" spans="1:53" ht="48" customHeight="1" x14ac:dyDescent="0.3">
      <c r="A36" s="158" t="s">
        <v>242</v>
      </c>
      <c r="B36" s="158"/>
      <c r="C36" s="158"/>
      <c r="D36" s="158"/>
      <c r="E36" s="158"/>
      <c r="F36" s="158"/>
      <c r="G36" s="158"/>
      <c r="H36" s="158"/>
      <c r="I36" s="158"/>
      <c r="J36" s="158"/>
      <c r="K36" s="158"/>
      <c r="L36" s="158"/>
      <c r="M36" s="105"/>
      <c r="N36" s="105"/>
      <c r="O36" s="105"/>
      <c r="P36" s="105"/>
      <c r="Q36" s="105"/>
      <c r="R36" s="105"/>
      <c r="S36" s="105"/>
      <c r="T36" s="105"/>
      <c r="U36" s="105"/>
      <c r="V36" s="105"/>
      <c r="W36" s="105"/>
      <c r="X36" s="105"/>
      <c r="Y36" s="105"/>
      <c r="Z36" s="105"/>
      <c r="AA36" s="105"/>
      <c r="AB36" s="105"/>
      <c r="AC36" s="105"/>
      <c r="AD36" s="105"/>
      <c r="AE36" s="105"/>
      <c r="AF36" s="105"/>
      <c r="AG36" s="105"/>
      <c r="AH36" s="105"/>
      <c r="AI36" s="105"/>
      <c r="AJ36" s="105"/>
      <c r="AK36" s="105"/>
      <c r="AL36" s="105"/>
      <c r="AM36" s="105"/>
      <c r="AN36" s="105"/>
      <c r="AO36" s="105"/>
      <c r="AP36" s="105"/>
      <c r="AQ36" s="105"/>
      <c r="AR36" s="105"/>
      <c r="AS36" s="105"/>
      <c r="AT36" s="105"/>
      <c r="AU36" s="105"/>
      <c r="AV36" s="105"/>
      <c r="AW36" s="105"/>
      <c r="AX36" s="105"/>
      <c r="AY36" s="105"/>
      <c r="AZ36" s="105"/>
      <c r="BA36" s="105"/>
    </row>
    <row r="37" spans="1:53" ht="52.5" customHeight="1" x14ac:dyDescent="0.3">
      <c r="A37" s="158" t="s">
        <v>243</v>
      </c>
      <c r="B37" s="158"/>
      <c r="C37" s="158"/>
      <c r="D37" s="158"/>
      <c r="E37" s="158"/>
      <c r="F37" s="158"/>
      <c r="G37" s="158"/>
      <c r="H37" s="158"/>
      <c r="I37" s="158"/>
      <c r="J37" s="158"/>
      <c r="K37" s="158"/>
      <c r="L37" s="158"/>
      <c r="M37" s="105"/>
      <c r="N37" s="105"/>
      <c r="O37" s="105"/>
      <c r="P37" s="105"/>
      <c r="Q37" s="105"/>
      <c r="R37" s="105"/>
      <c r="S37" s="105"/>
      <c r="T37" s="105"/>
      <c r="U37" s="105"/>
      <c r="V37" s="105"/>
      <c r="W37" s="105"/>
      <c r="X37" s="105"/>
      <c r="Y37" s="105"/>
      <c r="Z37" s="105"/>
      <c r="AA37" s="105"/>
      <c r="AB37" s="105"/>
      <c r="AC37" s="105"/>
      <c r="AD37" s="105"/>
      <c r="AE37" s="105"/>
      <c r="AF37" s="105"/>
      <c r="AG37" s="105"/>
      <c r="AH37" s="105"/>
      <c r="AI37" s="105"/>
      <c r="AJ37" s="105"/>
      <c r="AK37" s="105"/>
      <c r="AL37" s="105"/>
      <c r="AM37" s="105"/>
      <c r="AN37" s="105"/>
      <c r="AO37" s="105"/>
      <c r="AP37" s="105"/>
      <c r="AQ37" s="105"/>
      <c r="AR37" s="105"/>
      <c r="AS37" s="105"/>
      <c r="AT37" s="105"/>
      <c r="AU37" s="105"/>
      <c r="AV37" s="105"/>
      <c r="AW37" s="105"/>
      <c r="AX37" s="105"/>
      <c r="AY37" s="105"/>
      <c r="AZ37" s="105"/>
      <c r="BA37" s="105"/>
    </row>
    <row r="38" spans="1:53" x14ac:dyDescent="0.3">
      <c r="B38" s="105"/>
      <c r="C38" s="105"/>
      <c r="D38" s="105"/>
      <c r="E38" s="105"/>
      <c r="F38" s="132"/>
      <c r="G38" s="105" t="s">
        <v>244</v>
      </c>
      <c r="H38" s="105"/>
      <c r="I38" s="105"/>
      <c r="J38" s="105"/>
      <c r="K38" s="105"/>
      <c r="L38" s="105"/>
      <c r="M38" s="105"/>
      <c r="N38" s="105"/>
      <c r="O38" s="105"/>
      <c r="P38" s="105"/>
      <c r="Q38" s="105"/>
      <c r="R38" s="105"/>
      <c r="S38" s="105"/>
      <c r="T38" s="105"/>
      <c r="U38" s="105"/>
      <c r="V38" s="105"/>
      <c r="W38" s="105"/>
      <c r="X38" s="105"/>
      <c r="Y38" s="105"/>
      <c r="Z38" s="105"/>
      <c r="AA38" s="105"/>
      <c r="AB38" s="105"/>
      <c r="AC38" s="105"/>
      <c r="AD38" s="105"/>
      <c r="AE38" s="105"/>
      <c r="AF38" s="105"/>
      <c r="AG38" s="105"/>
      <c r="AH38" s="105"/>
      <c r="AI38" s="105"/>
      <c r="AJ38" s="105"/>
      <c r="AK38" s="105"/>
      <c r="AL38" s="105"/>
      <c r="AM38" s="105"/>
      <c r="AN38" s="105"/>
      <c r="AO38" s="105"/>
      <c r="AP38" s="105"/>
      <c r="AQ38" s="105"/>
      <c r="AR38" s="105"/>
      <c r="AS38" s="105"/>
    </row>
    <row r="39" spans="1:53" x14ac:dyDescent="0.3">
      <c r="B39" s="105"/>
      <c r="C39" s="105"/>
      <c r="D39" s="105"/>
      <c r="E39" s="105"/>
      <c r="F39" s="132"/>
      <c r="G39" s="105"/>
      <c r="H39" s="105"/>
      <c r="I39" s="105"/>
      <c r="J39" s="105"/>
      <c r="K39" s="105"/>
      <c r="L39" s="105"/>
      <c r="M39" s="105"/>
      <c r="N39" s="105"/>
      <c r="O39" s="105"/>
      <c r="P39" s="105"/>
      <c r="Q39" s="105"/>
      <c r="R39" s="105"/>
      <c r="S39" s="105"/>
      <c r="T39" s="105"/>
      <c r="U39" s="105"/>
      <c r="V39" s="105"/>
      <c r="W39" s="105"/>
      <c r="X39" s="105"/>
      <c r="Y39" s="105"/>
      <c r="Z39" s="105"/>
      <c r="AA39" s="105"/>
      <c r="AB39" s="105"/>
      <c r="AC39" s="105"/>
      <c r="AD39" s="105"/>
      <c r="AE39" s="105"/>
      <c r="AF39" s="105"/>
      <c r="AG39" s="105"/>
      <c r="AH39" s="105"/>
      <c r="AI39" s="105"/>
      <c r="AJ39" s="105"/>
      <c r="AK39" s="105"/>
      <c r="AL39" s="105"/>
      <c r="AM39" s="105"/>
      <c r="AN39" s="105"/>
      <c r="AO39" s="105"/>
      <c r="AP39" s="105"/>
      <c r="AQ39" s="105"/>
      <c r="AR39" s="105"/>
      <c r="AS39" s="105"/>
    </row>
    <row r="40" spans="1:53" x14ac:dyDescent="0.3">
      <c r="B40" s="105" t="s">
        <v>194</v>
      </c>
      <c r="C40" s="105"/>
      <c r="D40" s="105"/>
      <c r="E40" s="105"/>
      <c r="F40" s="132"/>
      <c r="G40" s="105"/>
      <c r="H40" s="105" t="s">
        <v>142</v>
      </c>
      <c r="I40" s="105" t="s">
        <v>195</v>
      </c>
      <c r="J40" s="105"/>
      <c r="K40" s="105"/>
      <c r="L40" s="105"/>
      <c r="M40" s="105"/>
      <c r="N40" s="105"/>
      <c r="O40" s="105"/>
      <c r="P40" s="105"/>
      <c r="Q40" s="105"/>
      <c r="R40" s="105"/>
      <c r="S40" s="105"/>
      <c r="T40" s="105"/>
      <c r="U40" s="105"/>
      <c r="V40" s="105"/>
      <c r="W40" s="105"/>
      <c r="X40" s="105"/>
      <c r="Y40" s="105"/>
      <c r="Z40" s="105"/>
      <c r="AA40" s="105"/>
      <c r="AB40" s="105"/>
      <c r="AC40" s="105"/>
      <c r="AD40" s="105"/>
      <c r="AE40" s="105"/>
      <c r="AF40" s="105"/>
      <c r="AG40" s="105"/>
      <c r="AH40" s="105"/>
      <c r="AI40" s="105"/>
      <c r="AJ40" s="105"/>
      <c r="AK40" s="105"/>
      <c r="AL40" s="105"/>
      <c r="AM40" s="105"/>
      <c r="AN40" s="105"/>
      <c r="AO40" s="105"/>
      <c r="AP40" s="105"/>
      <c r="AQ40" s="105"/>
      <c r="AR40" s="105"/>
      <c r="AS40" s="105"/>
    </row>
    <row r="41" spans="1:53" x14ac:dyDescent="0.3">
      <c r="B41" s="105"/>
      <c r="C41" s="105"/>
      <c r="D41" s="105"/>
      <c r="E41" s="105"/>
      <c r="F41" s="132"/>
      <c r="G41" s="105"/>
      <c r="H41" s="105"/>
      <c r="I41" s="105"/>
      <c r="J41" s="105"/>
      <c r="K41" s="105"/>
      <c r="L41" s="105"/>
      <c r="M41" s="105"/>
      <c r="N41" s="105"/>
      <c r="O41" s="105"/>
      <c r="P41" s="105"/>
      <c r="Q41" s="105"/>
      <c r="R41" s="105"/>
      <c r="S41" s="105"/>
      <c r="T41" s="105"/>
      <c r="U41" s="105"/>
      <c r="V41" s="105"/>
      <c r="W41" s="105"/>
      <c r="X41" s="105"/>
      <c r="Y41" s="105"/>
      <c r="Z41" s="105"/>
      <c r="AA41" s="105"/>
      <c r="AB41" s="105"/>
      <c r="AC41" s="105"/>
      <c r="AD41" s="105"/>
      <c r="AE41" s="105"/>
      <c r="AF41" s="105"/>
      <c r="AG41" s="105"/>
      <c r="AH41" s="105"/>
      <c r="AI41" s="105"/>
      <c r="AJ41" s="105"/>
      <c r="AK41" s="105"/>
      <c r="AL41" s="105"/>
      <c r="AM41" s="105"/>
      <c r="AN41" s="105"/>
      <c r="AO41" s="105"/>
      <c r="AP41" s="105"/>
      <c r="AQ41" s="105"/>
      <c r="AR41" s="105"/>
      <c r="AS41" s="105"/>
    </row>
    <row r="43" spans="1:53" x14ac:dyDescent="0.3">
      <c r="B43" t="s">
        <v>245</v>
      </c>
      <c r="G43" t="s">
        <v>142</v>
      </c>
      <c r="H43" t="s">
        <v>142</v>
      </c>
      <c r="I43" t="s">
        <v>246</v>
      </c>
    </row>
  </sheetData>
  <mergeCells count="5">
    <mergeCell ref="C3:G3"/>
    <mergeCell ref="C5:G5"/>
    <mergeCell ref="C23:G23"/>
    <mergeCell ref="A36:L36"/>
    <mergeCell ref="A37:L37"/>
  </mergeCells>
  <pageMargins left="0.7" right="0.7" top="0.75" bottom="0.75" header="0.3" footer="0.3"/>
  <pageSetup paperSize="9" scale="62"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P12"/>
  <sheetViews>
    <sheetView view="pageLayout" workbookViewId="0">
      <selection activeCell="A8" sqref="A8:C8"/>
    </sheetView>
  </sheetViews>
  <sheetFormatPr baseColWidth="10" defaultColWidth="10.77734375" defaultRowHeight="14.4" x14ac:dyDescent="0.3"/>
  <cols>
    <col min="1" max="1" width="10.44140625" customWidth="1"/>
    <col min="2" max="2" width="10.109375" customWidth="1"/>
    <col min="3" max="3" width="0.109375" customWidth="1"/>
    <col min="4" max="4" width="6.6640625" customWidth="1"/>
    <col min="5" max="5" width="7.21875" hidden="1" customWidth="1"/>
    <col min="6" max="6" width="6.33203125" customWidth="1"/>
    <col min="7" max="7" width="5.5546875" customWidth="1"/>
    <col min="8" max="8" width="9.5546875" customWidth="1"/>
    <col min="9" max="9" width="11.44140625" hidden="1" customWidth="1"/>
    <col min="11" max="11" width="7.44140625" customWidth="1"/>
  </cols>
  <sheetData>
    <row r="1" spans="1:16" ht="15.6" x14ac:dyDescent="0.3">
      <c r="A1" s="148" t="s">
        <v>196</v>
      </c>
      <c r="B1" s="148"/>
      <c r="C1" s="148"/>
      <c r="D1" s="148"/>
      <c r="E1" s="148"/>
      <c r="F1" s="148"/>
      <c r="G1" s="148"/>
      <c r="H1" s="148"/>
      <c r="I1" s="148"/>
      <c r="J1" s="148"/>
      <c r="K1" s="148"/>
      <c r="L1" s="148"/>
      <c r="M1" s="148"/>
      <c r="N1" s="148"/>
      <c r="O1" s="148"/>
      <c r="P1" s="148"/>
    </row>
    <row r="2" spans="1:16" x14ac:dyDescent="0.3">
      <c r="A2" s="10"/>
      <c r="B2" s="10"/>
      <c r="C2" s="10"/>
      <c r="D2" s="10"/>
      <c r="E2" s="10"/>
      <c r="F2" s="10"/>
      <c r="G2" s="10"/>
      <c r="H2" s="10"/>
      <c r="I2" s="10"/>
      <c r="J2" s="10"/>
      <c r="K2" s="10"/>
      <c r="L2" s="10"/>
      <c r="M2" s="10"/>
      <c r="N2" s="10"/>
      <c r="O2" s="10"/>
      <c r="P2" s="10"/>
    </row>
    <row r="3" spans="1:16" x14ac:dyDescent="0.3">
      <c r="A3" s="10"/>
      <c r="B3" s="10"/>
      <c r="C3" s="10"/>
      <c r="D3" s="10"/>
      <c r="E3" s="10"/>
      <c r="F3" s="10"/>
      <c r="G3" s="10"/>
      <c r="H3" s="10"/>
      <c r="I3" s="10"/>
      <c r="J3" s="10"/>
      <c r="K3" s="10"/>
      <c r="L3" s="10"/>
      <c r="M3" s="10"/>
      <c r="N3" s="10"/>
      <c r="O3" s="10"/>
      <c r="P3" s="10"/>
    </row>
    <row r="4" spans="1:16" x14ac:dyDescent="0.3">
      <c r="A4" s="10"/>
      <c r="B4" s="10"/>
      <c r="C4" s="10"/>
      <c r="D4" s="10"/>
      <c r="E4" s="10"/>
      <c r="F4" s="10"/>
      <c r="G4" s="10"/>
      <c r="H4" s="10"/>
      <c r="I4" s="10"/>
      <c r="J4" s="10"/>
      <c r="K4" s="10"/>
      <c r="L4" s="10"/>
      <c r="M4" s="10"/>
      <c r="N4" s="10"/>
      <c r="O4" s="10"/>
      <c r="P4" s="10"/>
    </row>
    <row r="6" spans="1:16" x14ac:dyDescent="0.3">
      <c r="A6" s="159" t="s">
        <v>197</v>
      </c>
      <c r="B6" s="159"/>
      <c r="C6" s="159"/>
      <c r="D6" s="161" t="s">
        <v>198</v>
      </c>
      <c r="E6" s="161"/>
      <c r="F6" s="161"/>
      <c r="G6" s="161"/>
      <c r="H6" s="159" t="s">
        <v>199</v>
      </c>
      <c r="I6" s="159"/>
      <c r="J6" s="159"/>
      <c r="K6" s="159"/>
      <c r="L6" s="159" t="s">
        <v>200</v>
      </c>
      <c r="M6" s="159"/>
      <c r="N6" s="159"/>
      <c r="O6" s="159" t="s">
        <v>208</v>
      </c>
      <c r="P6" s="159"/>
    </row>
    <row r="7" spans="1:16" x14ac:dyDescent="0.3">
      <c r="A7" s="159" t="s">
        <v>209</v>
      </c>
      <c r="B7" s="160"/>
      <c r="C7" s="160"/>
      <c r="D7" s="161" t="s">
        <v>203</v>
      </c>
      <c r="E7" s="161"/>
      <c r="F7" s="161" t="s">
        <v>204</v>
      </c>
      <c r="G7" s="161"/>
      <c r="H7" s="159" t="s">
        <v>210</v>
      </c>
      <c r="I7" s="160"/>
      <c r="J7" s="160"/>
      <c r="K7" s="160"/>
      <c r="L7" s="159" t="s">
        <v>211</v>
      </c>
      <c r="M7" s="160"/>
      <c r="N7" s="160"/>
      <c r="O7" s="159" t="s">
        <v>208</v>
      </c>
      <c r="P7" s="160"/>
    </row>
    <row r="8" spans="1:16" x14ac:dyDescent="0.3">
      <c r="A8" s="162"/>
      <c r="B8" s="162"/>
      <c r="C8" s="162"/>
      <c r="D8" s="162"/>
      <c r="E8" s="162"/>
      <c r="F8" s="162"/>
      <c r="G8" s="162"/>
      <c r="H8" s="162"/>
      <c r="I8" s="162"/>
      <c r="J8" s="162"/>
      <c r="K8" s="162"/>
      <c r="L8" s="162"/>
      <c r="M8" s="162"/>
      <c r="N8" s="162"/>
      <c r="O8" s="162"/>
      <c r="P8" s="162"/>
    </row>
    <row r="9" spans="1:16" x14ac:dyDescent="0.3">
      <c r="A9" s="162"/>
      <c r="B9" s="162"/>
      <c r="C9" s="162"/>
      <c r="D9" s="162"/>
      <c r="E9" s="162"/>
      <c r="F9" s="162"/>
      <c r="G9" s="162"/>
      <c r="H9" s="162"/>
      <c r="I9" s="162"/>
      <c r="J9" s="162"/>
      <c r="K9" s="162"/>
      <c r="L9" s="162"/>
      <c r="M9" s="162"/>
      <c r="N9" s="162"/>
      <c r="O9" s="162"/>
      <c r="P9" s="162"/>
    </row>
    <row r="10" spans="1:16" x14ac:dyDescent="0.3">
      <c r="A10" s="163" t="s">
        <v>206</v>
      </c>
      <c r="B10" s="164"/>
      <c r="C10" s="164"/>
      <c r="D10" s="164"/>
      <c r="E10" s="164"/>
      <c r="F10" s="164"/>
      <c r="G10" s="164"/>
      <c r="H10" s="164"/>
      <c r="I10" s="164"/>
      <c r="J10" s="164"/>
      <c r="K10" s="164"/>
      <c r="L10" s="164"/>
      <c r="M10" s="164"/>
      <c r="N10" s="165"/>
      <c r="O10" s="162"/>
      <c r="P10" s="162"/>
    </row>
    <row r="11" spans="1:16" x14ac:dyDescent="0.3">
      <c r="A11" s="166" t="s">
        <v>207</v>
      </c>
      <c r="B11" s="166"/>
      <c r="C11" s="166"/>
      <c r="D11" s="162"/>
      <c r="E11" s="162"/>
      <c r="F11" s="162"/>
      <c r="G11" s="162"/>
      <c r="H11" s="162"/>
      <c r="I11" s="162"/>
      <c r="J11" s="162"/>
      <c r="K11" s="162"/>
      <c r="L11" s="162"/>
      <c r="M11" s="162"/>
      <c r="N11" s="162"/>
      <c r="O11" s="162"/>
      <c r="P11" s="162"/>
    </row>
    <row r="12" spans="1:16" x14ac:dyDescent="0.3">
      <c r="A12" s="162"/>
      <c r="B12" s="162"/>
      <c r="C12" s="162"/>
      <c r="D12" s="162"/>
      <c r="E12" s="162"/>
      <c r="F12" s="162"/>
      <c r="G12" s="162"/>
      <c r="H12" s="162"/>
      <c r="I12" s="162"/>
      <c r="J12" s="162"/>
      <c r="K12" s="162"/>
      <c r="L12" s="162"/>
      <c r="M12" s="162"/>
      <c r="N12" s="162"/>
      <c r="O12" s="162"/>
      <c r="P12" s="162"/>
    </row>
  </sheetData>
  <mergeCells count="34">
    <mergeCell ref="O12:P12"/>
    <mergeCell ref="A10:N10"/>
    <mergeCell ref="O10:P10"/>
    <mergeCell ref="A11:C11"/>
    <mergeCell ref="D11:E11"/>
    <mergeCell ref="F11:G11"/>
    <mergeCell ref="H11:K11"/>
    <mergeCell ref="L11:N11"/>
    <mergeCell ref="O11:P11"/>
    <mergeCell ref="A12:C12"/>
    <mergeCell ref="D12:E12"/>
    <mergeCell ref="F12:G12"/>
    <mergeCell ref="H12:K12"/>
    <mergeCell ref="L12:N12"/>
    <mergeCell ref="O9:P9"/>
    <mergeCell ref="A8:C8"/>
    <mergeCell ref="D8:E8"/>
    <mergeCell ref="F8:G8"/>
    <mergeCell ref="H8:K8"/>
    <mergeCell ref="L8:N8"/>
    <mergeCell ref="O8:P8"/>
    <mergeCell ref="A9:C9"/>
    <mergeCell ref="D9:E9"/>
    <mergeCell ref="F9:G9"/>
    <mergeCell ref="H9:K9"/>
    <mergeCell ref="L9:N9"/>
    <mergeCell ref="A1:P1"/>
    <mergeCell ref="A6:C7"/>
    <mergeCell ref="D6:G6"/>
    <mergeCell ref="H6:K7"/>
    <mergeCell ref="L6:N7"/>
    <mergeCell ref="O6:P7"/>
    <mergeCell ref="D7:E7"/>
    <mergeCell ref="F7:G7"/>
  </mergeCells>
  <pageMargins left="0.7" right="0.7" top="0.75" bottom="0.75" header="0.3" footer="0.3"/>
  <pageSetup paperSize="9"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4:Q17"/>
  <sheetViews>
    <sheetView view="pageLayout" topLeftCell="A3" workbookViewId="0">
      <selection activeCell="O21" sqref="O21"/>
    </sheetView>
  </sheetViews>
  <sheetFormatPr baseColWidth="10" defaultColWidth="10.77734375" defaultRowHeight="14.4" x14ac:dyDescent="0.3"/>
  <cols>
    <col min="1" max="1" width="10.33203125" customWidth="1"/>
    <col min="2" max="2" width="11.44140625" customWidth="1"/>
    <col min="3" max="3" width="11.44140625" hidden="1" customWidth="1"/>
    <col min="4" max="4" width="11.44140625" customWidth="1"/>
    <col min="6" max="7" width="0.109375" customWidth="1"/>
    <col min="8" max="8" width="11.44140625" customWidth="1"/>
    <col min="9" max="9" width="9.77734375" customWidth="1"/>
    <col min="10" max="12" width="11.44140625" hidden="1" customWidth="1"/>
    <col min="13" max="13" width="11.44140625" customWidth="1"/>
    <col min="14" max="14" width="14.88671875" customWidth="1"/>
    <col min="17" max="17" width="0.109375" customWidth="1"/>
  </cols>
  <sheetData>
    <row r="4" spans="1:17" ht="15.6" x14ac:dyDescent="0.3">
      <c r="A4" s="173" t="s">
        <v>212</v>
      </c>
      <c r="B4" s="173"/>
      <c r="C4" s="173"/>
      <c r="D4" s="173"/>
      <c r="E4" s="173"/>
      <c r="F4" s="173"/>
      <c r="G4" s="173"/>
      <c r="H4" s="173"/>
      <c r="I4" s="173"/>
      <c r="J4" s="173"/>
      <c r="K4" s="173"/>
      <c r="L4" s="173"/>
      <c r="M4" s="173"/>
      <c r="N4" s="173"/>
      <c r="O4" s="173"/>
      <c r="P4" s="173"/>
      <c r="Q4" s="173"/>
    </row>
    <row r="5" spans="1:17" x14ac:dyDescent="0.3">
      <c r="A5" s="136" t="s">
        <v>213</v>
      </c>
      <c r="B5" s="174" t="s">
        <v>214</v>
      </c>
      <c r="C5" s="175"/>
      <c r="D5" s="175"/>
      <c r="E5" s="175"/>
      <c r="F5" s="176"/>
      <c r="G5" s="174" t="s">
        <v>215</v>
      </c>
      <c r="H5" s="175"/>
      <c r="I5" s="176"/>
      <c r="J5" s="174" t="s">
        <v>216</v>
      </c>
      <c r="K5" s="175"/>
      <c r="L5" s="176"/>
      <c r="M5" s="138" t="s">
        <v>218</v>
      </c>
      <c r="N5" s="136" t="s">
        <v>217</v>
      </c>
      <c r="O5" s="174" t="s">
        <v>208</v>
      </c>
      <c r="P5" s="175"/>
      <c r="Q5" s="176"/>
    </row>
    <row r="6" spans="1:17" x14ac:dyDescent="0.3">
      <c r="A6" s="135"/>
      <c r="B6" s="167"/>
      <c r="C6" s="168"/>
      <c r="D6" s="168"/>
      <c r="E6" s="168"/>
      <c r="F6" s="169"/>
      <c r="G6" s="170"/>
      <c r="H6" s="171"/>
      <c r="I6" s="172"/>
      <c r="J6" s="170">
        <v>4</v>
      </c>
      <c r="K6" s="171"/>
      <c r="L6" s="172"/>
      <c r="M6" s="137"/>
      <c r="N6" s="135"/>
      <c r="O6" s="170"/>
      <c r="P6" s="171"/>
      <c r="Q6" s="172"/>
    </row>
    <row r="7" spans="1:17" x14ac:dyDescent="0.3">
      <c r="A7" s="135"/>
      <c r="B7" s="170"/>
      <c r="C7" s="171"/>
      <c r="D7" s="171"/>
      <c r="E7" s="171"/>
      <c r="F7" s="172"/>
      <c r="G7" s="170"/>
      <c r="H7" s="171"/>
      <c r="I7" s="172"/>
      <c r="J7" s="170">
        <v>3</v>
      </c>
      <c r="K7" s="171"/>
      <c r="L7" s="172"/>
      <c r="M7" s="137"/>
      <c r="N7" s="135"/>
      <c r="O7" s="170"/>
      <c r="P7" s="171"/>
      <c r="Q7" s="172"/>
    </row>
    <row r="8" spans="1:17" x14ac:dyDescent="0.3">
      <c r="A8" s="135"/>
      <c r="B8" s="170"/>
      <c r="C8" s="171"/>
      <c r="D8" s="171"/>
      <c r="E8" s="171"/>
      <c r="F8" s="172"/>
      <c r="G8" s="170"/>
      <c r="H8" s="171"/>
      <c r="I8" s="172"/>
      <c r="J8" s="170">
        <v>27</v>
      </c>
      <c r="K8" s="171"/>
      <c r="L8" s="172"/>
      <c r="M8" s="137"/>
      <c r="N8" s="135"/>
      <c r="O8" s="170"/>
      <c r="P8" s="171"/>
      <c r="Q8" s="172"/>
    </row>
    <row r="9" spans="1:17" x14ac:dyDescent="0.3">
      <c r="A9" s="135"/>
      <c r="B9" s="170"/>
      <c r="C9" s="171"/>
      <c r="D9" s="171"/>
      <c r="E9" s="171"/>
      <c r="F9" s="172"/>
      <c r="G9" s="170"/>
      <c r="H9" s="171"/>
      <c r="I9" s="172"/>
      <c r="J9" s="170">
        <v>10</v>
      </c>
      <c r="K9" s="171"/>
      <c r="L9" s="172"/>
      <c r="M9" s="137"/>
      <c r="N9" s="135"/>
      <c r="O9" s="170"/>
      <c r="P9" s="171"/>
      <c r="Q9" s="172"/>
    </row>
    <row r="10" spans="1:17" x14ac:dyDescent="0.3">
      <c r="A10" s="135"/>
      <c r="B10" s="170"/>
      <c r="C10" s="171"/>
      <c r="D10" s="171"/>
      <c r="E10" s="171"/>
      <c r="F10" s="172"/>
      <c r="G10" s="170"/>
      <c r="H10" s="171"/>
      <c r="I10" s="172"/>
      <c r="J10" s="170">
        <v>2</v>
      </c>
      <c r="K10" s="171"/>
      <c r="L10" s="172"/>
      <c r="M10" s="137"/>
      <c r="N10" s="135"/>
      <c r="O10" s="170"/>
      <c r="P10" s="171"/>
      <c r="Q10" s="172"/>
    </row>
    <row r="11" spans="1:17" x14ac:dyDescent="0.3">
      <c r="A11" s="135"/>
      <c r="B11" s="170"/>
      <c r="C11" s="171"/>
      <c r="D11" s="171"/>
      <c r="E11" s="171"/>
      <c r="F11" s="172"/>
      <c r="G11" s="170"/>
      <c r="H11" s="171"/>
      <c r="I11" s="172"/>
      <c r="J11" s="170">
        <v>1</v>
      </c>
      <c r="K11" s="171"/>
      <c r="L11" s="172"/>
      <c r="M11" s="137"/>
      <c r="N11" s="135"/>
      <c r="O11" s="170"/>
      <c r="P11" s="171"/>
      <c r="Q11" s="172"/>
    </row>
    <row r="12" spans="1:17" x14ac:dyDescent="0.3">
      <c r="A12" s="135"/>
      <c r="B12" s="170"/>
      <c r="C12" s="171"/>
      <c r="D12" s="171"/>
      <c r="E12" s="171"/>
      <c r="F12" s="172"/>
      <c r="G12" s="170"/>
      <c r="H12" s="171"/>
      <c r="I12" s="172"/>
      <c r="J12" s="170">
        <v>8</v>
      </c>
      <c r="K12" s="171"/>
      <c r="L12" s="172"/>
      <c r="M12" s="137"/>
      <c r="N12" s="135"/>
      <c r="O12" s="170"/>
      <c r="P12" s="171"/>
      <c r="Q12" s="172"/>
    </row>
    <row r="13" spans="1:17" x14ac:dyDescent="0.3">
      <c r="A13" s="135"/>
      <c r="B13" s="170"/>
      <c r="C13" s="171"/>
      <c r="D13" s="171"/>
      <c r="E13" s="171"/>
      <c r="F13" s="172"/>
      <c r="G13" s="170"/>
      <c r="H13" s="171"/>
      <c r="I13" s="172"/>
      <c r="J13" s="170">
        <v>1</v>
      </c>
      <c r="K13" s="171"/>
      <c r="L13" s="172"/>
      <c r="M13" s="137"/>
      <c r="N13" s="135"/>
      <c r="O13" s="170"/>
      <c r="P13" s="171"/>
      <c r="Q13" s="172"/>
    </row>
    <row r="14" spans="1:17" x14ac:dyDescent="0.3">
      <c r="A14" s="135"/>
      <c r="B14" s="170"/>
      <c r="C14" s="171"/>
      <c r="D14" s="171"/>
      <c r="E14" s="171"/>
      <c r="F14" s="172"/>
      <c r="G14" s="170"/>
      <c r="H14" s="171"/>
      <c r="I14" s="172"/>
      <c r="J14" s="170">
        <v>1</v>
      </c>
      <c r="K14" s="171"/>
      <c r="L14" s="172"/>
      <c r="M14" s="137"/>
      <c r="N14" s="135"/>
      <c r="O14" s="170"/>
      <c r="P14" s="171"/>
      <c r="Q14" s="172"/>
    </row>
    <row r="15" spans="1:17" x14ac:dyDescent="0.3">
      <c r="A15" s="135"/>
      <c r="B15" s="170"/>
      <c r="C15" s="171"/>
      <c r="D15" s="171"/>
      <c r="E15" s="171"/>
      <c r="F15" s="172"/>
      <c r="G15" s="170"/>
      <c r="H15" s="171"/>
      <c r="I15" s="172"/>
      <c r="J15" s="170">
        <v>1</v>
      </c>
      <c r="K15" s="171"/>
      <c r="L15" s="172"/>
      <c r="M15" s="137"/>
      <c r="N15" s="135"/>
      <c r="O15" s="170"/>
      <c r="P15" s="171"/>
      <c r="Q15" s="172"/>
    </row>
    <row r="16" spans="1:17" x14ac:dyDescent="0.3">
      <c r="A16" s="135"/>
      <c r="B16" s="170"/>
      <c r="C16" s="171"/>
      <c r="D16" s="171"/>
      <c r="E16" s="171"/>
      <c r="F16" s="172"/>
      <c r="G16" s="170"/>
      <c r="H16" s="171"/>
      <c r="I16" s="172"/>
      <c r="J16" s="170">
        <v>1</v>
      </c>
      <c r="K16" s="171"/>
      <c r="L16" s="172"/>
      <c r="M16" s="137"/>
      <c r="N16" s="135"/>
      <c r="O16" s="170"/>
      <c r="P16" s="171"/>
      <c r="Q16" s="172"/>
    </row>
    <row r="17" spans="1:17" x14ac:dyDescent="0.3">
      <c r="A17" s="134"/>
      <c r="B17" s="177"/>
      <c r="C17" s="178"/>
      <c r="D17" s="178"/>
      <c r="E17" s="178"/>
      <c r="F17" s="179"/>
      <c r="G17" s="170"/>
      <c r="H17" s="171"/>
      <c r="I17" s="172"/>
      <c r="J17" s="177">
        <v>1</v>
      </c>
      <c r="K17" s="178"/>
      <c r="L17" s="179"/>
      <c r="M17" s="139"/>
      <c r="N17" s="134"/>
      <c r="O17" s="170"/>
      <c r="P17" s="171"/>
      <c r="Q17" s="172"/>
    </row>
  </sheetData>
  <mergeCells count="53">
    <mergeCell ref="B17:F17"/>
    <mergeCell ref="O17:Q17"/>
    <mergeCell ref="G17:I17"/>
    <mergeCell ref="G10:I10"/>
    <mergeCell ref="J10:L10"/>
    <mergeCell ref="J17:L17"/>
    <mergeCell ref="B15:F15"/>
    <mergeCell ref="G15:I15"/>
    <mergeCell ref="J15:L15"/>
    <mergeCell ref="O15:Q15"/>
    <mergeCell ref="B16:F16"/>
    <mergeCell ref="G16:I16"/>
    <mergeCell ref="J16:L16"/>
    <mergeCell ref="O16:Q16"/>
    <mergeCell ref="B13:F13"/>
    <mergeCell ref="G13:I13"/>
    <mergeCell ref="J13:L13"/>
    <mergeCell ref="O13:Q13"/>
    <mergeCell ref="B14:F14"/>
    <mergeCell ref="G14:I14"/>
    <mergeCell ref="J14:L14"/>
    <mergeCell ref="O14:Q14"/>
    <mergeCell ref="B11:F11"/>
    <mergeCell ref="G11:I11"/>
    <mergeCell ref="J11:L11"/>
    <mergeCell ref="O11:Q11"/>
    <mergeCell ref="B12:F12"/>
    <mergeCell ref="G12:I12"/>
    <mergeCell ref="J12:L12"/>
    <mergeCell ref="O12:Q12"/>
    <mergeCell ref="B9:F9"/>
    <mergeCell ref="G9:I9"/>
    <mergeCell ref="J9:L9"/>
    <mergeCell ref="O9:Q9"/>
    <mergeCell ref="B10:F10"/>
    <mergeCell ref="O10:Q10"/>
    <mergeCell ref="B7:F7"/>
    <mergeCell ref="G7:I7"/>
    <mergeCell ref="J7:L7"/>
    <mergeCell ref="O7:Q7"/>
    <mergeCell ref="B8:F8"/>
    <mergeCell ref="G8:I8"/>
    <mergeCell ref="J8:L8"/>
    <mergeCell ref="O8:Q8"/>
    <mergeCell ref="B6:F6"/>
    <mergeCell ref="G6:I6"/>
    <mergeCell ref="J6:L6"/>
    <mergeCell ref="O6:Q6"/>
    <mergeCell ref="A4:Q4"/>
    <mergeCell ref="B5:F5"/>
    <mergeCell ref="G5:I5"/>
    <mergeCell ref="J5:L5"/>
    <mergeCell ref="O5:Q5"/>
  </mergeCells>
  <pageMargins left="0.7" right="0.7" top="0.75" bottom="0.75" header="0.3" footer="0.3"/>
  <pageSetup paperSize="9"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11106-A2DA-40CA-BF83-2B9D002E2104}">
  <dimension ref="A1"/>
  <sheetViews>
    <sheetView workbookViewId="0"/>
  </sheetViews>
  <sheetFormatPr baseColWidth="10" defaultColWidth="10.77734375" defaultRowHeight="14.4" x14ac:dyDescent="0.3"/>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3:P10"/>
  <sheetViews>
    <sheetView view="pageLayout" workbookViewId="0">
      <selection activeCell="A8" sqref="A8:O8"/>
    </sheetView>
  </sheetViews>
  <sheetFormatPr baseColWidth="10" defaultColWidth="10.77734375" defaultRowHeight="14.4" x14ac:dyDescent="0.3"/>
  <cols>
    <col min="1" max="1" width="9.77734375" customWidth="1"/>
    <col min="2" max="2" width="8.44140625" customWidth="1"/>
    <col min="4" max="4" width="11.44140625" hidden="1" customWidth="1"/>
    <col min="6" max="6" width="0.109375" customWidth="1"/>
    <col min="7" max="7" width="11.33203125" customWidth="1"/>
    <col min="8" max="8" width="11.44140625" hidden="1" customWidth="1"/>
    <col min="9" max="10" width="11.44140625" customWidth="1"/>
    <col min="11" max="11" width="11.33203125" customWidth="1"/>
    <col min="12" max="13" width="11.44140625" hidden="1" customWidth="1"/>
    <col min="14" max="14" width="0.21875" customWidth="1"/>
  </cols>
  <sheetData>
    <row r="3" spans="1:16" ht="15.6" x14ac:dyDescent="0.3">
      <c r="A3" s="173" t="s">
        <v>219</v>
      </c>
      <c r="B3" s="173"/>
      <c r="C3" s="173"/>
      <c r="D3" s="173"/>
      <c r="E3" s="173"/>
      <c r="F3" s="173"/>
      <c r="G3" s="173"/>
      <c r="H3" s="173"/>
      <c r="I3" s="173"/>
      <c r="J3" s="173"/>
      <c r="K3" s="173"/>
      <c r="L3" s="173"/>
      <c r="M3" s="173"/>
      <c r="N3" s="173"/>
      <c r="O3" s="173"/>
      <c r="P3" s="173"/>
    </row>
    <row r="4" spans="1:16" x14ac:dyDescent="0.3">
      <c r="A4" s="180" t="s">
        <v>197</v>
      </c>
      <c r="B4" s="180"/>
      <c r="C4" s="182" t="s">
        <v>220</v>
      </c>
      <c r="D4" s="182"/>
      <c r="E4" s="182"/>
      <c r="F4" s="182"/>
      <c r="G4" s="182"/>
      <c r="H4" s="182"/>
      <c r="I4" s="180" t="s">
        <v>221</v>
      </c>
      <c r="J4" s="180"/>
      <c r="K4" s="180" t="s">
        <v>200</v>
      </c>
      <c r="L4" s="180"/>
      <c r="M4" s="180"/>
      <c r="N4" s="180"/>
      <c r="O4" s="180"/>
      <c r="P4" s="180" t="s">
        <v>201</v>
      </c>
    </row>
    <row r="5" spans="1:16" x14ac:dyDescent="0.3">
      <c r="A5" s="180" t="s">
        <v>202</v>
      </c>
      <c r="B5" s="181"/>
      <c r="C5" s="182" t="s">
        <v>203</v>
      </c>
      <c r="D5" s="182"/>
      <c r="E5" s="182" t="s">
        <v>204</v>
      </c>
      <c r="F5" s="182"/>
      <c r="G5" s="182"/>
      <c r="H5" s="182"/>
      <c r="I5" s="180" t="s">
        <v>222</v>
      </c>
      <c r="J5" s="181"/>
      <c r="K5" s="180" t="s">
        <v>205</v>
      </c>
      <c r="L5" s="181"/>
      <c r="M5" s="181"/>
      <c r="N5" s="181"/>
      <c r="O5" s="181"/>
      <c r="P5" s="180" t="s">
        <v>201</v>
      </c>
    </row>
    <row r="6" spans="1:16" x14ac:dyDescent="0.3">
      <c r="A6" s="162" t="s">
        <v>142</v>
      </c>
      <c r="B6" s="162"/>
      <c r="C6" s="162"/>
      <c r="D6" s="162"/>
      <c r="E6" s="162"/>
      <c r="F6" s="162"/>
      <c r="G6" s="162"/>
      <c r="H6" s="162"/>
      <c r="I6" s="162"/>
      <c r="J6" s="162"/>
      <c r="K6" s="162"/>
      <c r="L6" s="162"/>
      <c r="M6" s="162"/>
      <c r="N6" s="162"/>
      <c r="O6" s="162"/>
      <c r="P6" s="135"/>
    </row>
    <row r="7" spans="1:16" x14ac:dyDescent="0.3">
      <c r="A7" s="162"/>
      <c r="B7" s="162"/>
      <c r="C7" s="162"/>
      <c r="D7" s="162"/>
      <c r="E7" s="162"/>
      <c r="F7" s="162"/>
      <c r="G7" s="162"/>
      <c r="H7" s="162"/>
      <c r="I7" s="162"/>
      <c r="J7" s="162"/>
      <c r="K7" s="162"/>
      <c r="L7" s="162"/>
      <c r="M7" s="162"/>
      <c r="N7" s="162"/>
      <c r="O7" s="162"/>
      <c r="P7" s="135"/>
    </row>
    <row r="8" spans="1:16" x14ac:dyDescent="0.3">
      <c r="A8" s="163" t="s">
        <v>206</v>
      </c>
      <c r="B8" s="164"/>
      <c r="C8" s="164"/>
      <c r="D8" s="164"/>
      <c r="E8" s="164"/>
      <c r="F8" s="164"/>
      <c r="G8" s="164"/>
      <c r="H8" s="164"/>
      <c r="I8" s="164"/>
      <c r="J8" s="164"/>
      <c r="K8" s="164"/>
      <c r="L8" s="164"/>
      <c r="M8" s="164"/>
      <c r="N8" s="164"/>
      <c r="O8" s="165"/>
      <c r="P8" s="135"/>
    </row>
    <row r="9" spans="1:16" x14ac:dyDescent="0.3">
      <c r="A9" s="166" t="s">
        <v>207</v>
      </c>
      <c r="B9" s="166"/>
      <c r="C9" s="162"/>
      <c r="D9" s="162"/>
      <c r="E9" s="162"/>
      <c r="F9" s="162"/>
      <c r="G9" s="162"/>
      <c r="H9" s="162"/>
      <c r="I9" s="162"/>
      <c r="J9" s="162"/>
      <c r="K9" s="162"/>
      <c r="L9" s="162"/>
      <c r="M9" s="162"/>
      <c r="N9" s="162"/>
      <c r="O9" s="162"/>
      <c r="P9" s="135"/>
    </row>
    <row r="10" spans="1:16" x14ac:dyDescent="0.3">
      <c r="A10" s="162"/>
      <c r="B10" s="162"/>
      <c r="C10" s="162"/>
      <c r="D10" s="162"/>
      <c r="E10" s="162"/>
      <c r="F10" s="162"/>
      <c r="G10" s="162"/>
      <c r="H10" s="162"/>
      <c r="I10" s="162"/>
      <c r="J10" s="162"/>
      <c r="K10" s="162"/>
      <c r="L10" s="162"/>
      <c r="M10" s="162"/>
      <c r="N10" s="162"/>
      <c r="O10" s="162"/>
      <c r="P10" s="135"/>
    </row>
  </sheetData>
  <mergeCells count="29">
    <mergeCell ref="A10:B10"/>
    <mergeCell ref="C10:D10"/>
    <mergeCell ref="E10:H10"/>
    <mergeCell ref="I10:J10"/>
    <mergeCell ref="K10:O10"/>
    <mergeCell ref="A8:O8"/>
    <mergeCell ref="A9:B9"/>
    <mergeCell ref="C9:D9"/>
    <mergeCell ref="E9:H9"/>
    <mergeCell ref="I9:J9"/>
    <mergeCell ref="K9:O9"/>
    <mergeCell ref="A6:B6"/>
    <mergeCell ref="C6:D6"/>
    <mergeCell ref="E6:H6"/>
    <mergeCell ref="I6:J6"/>
    <mergeCell ref="K6:O6"/>
    <mergeCell ref="A7:B7"/>
    <mergeCell ref="C7:D7"/>
    <mergeCell ref="E7:H7"/>
    <mergeCell ref="I7:J7"/>
    <mergeCell ref="K7:O7"/>
    <mergeCell ref="A3:P3"/>
    <mergeCell ref="A4:B5"/>
    <mergeCell ref="C4:H4"/>
    <mergeCell ref="I4:J5"/>
    <mergeCell ref="K4:O5"/>
    <mergeCell ref="P4:P5"/>
    <mergeCell ref="C5:D5"/>
    <mergeCell ref="E5:H5"/>
  </mergeCells>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12</vt:i4>
      </vt:variant>
      <vt:variant>
        <vt:lpstr>Plages nommées</vt:lpstr>
      </vt:variant>
      <vt:variant>
        <vt:i4>4</vt:i4>
      </vt:variant>
    </vt:vector>
  </HeadingPairs>
  <TitlesOfParts>
    <vt:vector size="16" baseType="lpstr">
      <vt:lpstr>RECETTE</vt:lpstr>
      <vt:lpstr>RECAP RECETTE </vt:lpstr>
      <vt:lpstr>DEP PROGRAM I</vt:lpstr>
      <vt:lpstr>DEP PROGRAM II</vt:lpstr>
      <vt:lpstr>DEP PROGRAM III</vt:lpstr>
      <vt:lpstr>RECAP DEP</vt:lpstr>
      <vt:lpstr>RECAP DEP (2)</vt:lpstr>
      <vt:lpstr>EQUILIBRE</vt:lpstr>
      <vt:lpstr>ANNEXE 2</vt:lpstr>
      <vt:lpstr>ANNEXE 4</vt:lpstr>
      <vt:lpstr>Feuil1</vt:lpstr>
      <vt:lpstr>ANNEXE 3</vt:lpstr>
      <vt:lpstr>EQUILIBRE!Zone_d_impression</vt:lpstr>
      <vt:lpstr>'RECAP DEP (2)'!Zone_d_impression</vt:lpstr>
      <vt:lpstr>'RECAP RECETTE '!Zone_d_impression</vt:lpstr>
      <vt:lpstr>RECETTE!Zone_d_impression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Utilisateur</dc:creator>
  <cp:lastModifiedBy>Hasina Valéry Ramaherison (TI MG)</cp:lastModifiedBy>
  <cp:lastPrinted>2024-03-26T05:07:34Z</cp:lastPrinted>
  <dcterms:created xsi:type="dcterms:W3CDTF">2015-06-05T18:17:20Z</dcterms:created>
  <dcterms:modified xsi:type="dcterms:W3CDTF">2026-03-12T22:29:52Z</dcterms:modified>
</cp:coreProperties>
</file>